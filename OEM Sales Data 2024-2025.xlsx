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.carysforth/Downloads/oem_streamlit_app_v40_oem_clusters/"/>
    </mc:Choice>
  </mc:AlternateContent>
  <xr:revisionPtr revIDLastSave="0" documentId="8_{FB26E84A-843F-5248-80C6-0B4F6413F1E0}" xr6:coauthVersionLast="47" xr6:coauthVersionMax="47" xr10:uidLastSave="{00000000-0000-0000-0000-000000000000}"/>
  <bookViews>
    <workbookView xWindow="0" yWindow="680" windowWidth="29500" windowHeight="17200" xr2:uid="{00000000-000D-0000-FFFF-FFFF00000000}"/>
  </bookViews>
  <sheets>
    <sheet name="CORE DATA CUT" sheetId="11" r:id="rId1"/>
  </sheets>
  <definedNames>
    <definedName name="_xlnm._FilterDatabase" localSheetId="0" hidden="1">'CORE DATA CUT'!$A$1:$K$67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8" i="11" l="1"/>
  <c r="J398" i="11"/>
  <c r="K388" i="11"/>
  <c r="J388" i="11"/>
  <c r="K279" i="11"/>
  <c r="J279" i="11"/>
  <c r="K278" i="11"/>
  <c r="J278" i="11"/>
  <c r="K348" i="11"/>
  <c r="K306" i="11"/>
  <c r="J306" i="11"/>
  <c r="K316" i="11"/>
  <c r="J316" i="11"/>
  <c r="K17" i="11"/>
  <c r="J17" i="11"/>
  <c r="K16" i="11"/>
  <c r="J16" i="11"/>
  <c r="K89" i="11"/>
  <c r="J89" i="11"/>
  <c r="K71" i="11"/>
  <c r="J71" i="11"/>
  <c r="K36" i="11"/>
  <c r="J36" i="11"/>
  <c r="K30" i="11"/>
  <c r="J30" i="11"/>
  <c r="K2" i="11"/>
  <c r="J2" i="11"/>
  <c r="K3" i="11"/>
  <c r="J3" i="11"/>
  <c r="K38" i="11"/>
  <c r="J38" i="11"/>
  <c r="K32" i="11"/>
  <c r="J32" i="11"/>
  <c r="K90" i="11"/>
  <c r="J90" i="11"/>
  <c r="K98" i="11"/>
  <c r="J98" i="11"/>
  <c r="K228" i="11"/>
  <c r="J228" i="11"/>
  <c r="K245" i="11"/>
  <c r="J245" i="11"/>
  <c r="K249" i="11"/>
  <c r="J249" i="11"/>
  <c r="K225" i="11"/>
  <c r="J225" i="11"/>
  <c r="K99" i="11"/>
  <c r="J99" i="11"/>
  <c r="K108" i="11"/>
  <c r="J108" i="11"/>
  <c r="K222" i="11"/>
  <c r="J222" i="11"/>
  <c r="K251" i="11"/>
  <c r="J251" i="11"/>
  <c r="K67" i="11"/>
  <c r="J67" i="11"/>
  <c r="K77" i="11"/>
  <c r="J77" i="11"/>
  <c r="K198" i="11"/>
  <c r="J198" i="11"/>
  <c r="K201" i="11"/>
  <c r="J201" i="11"/>
  <c r="K169" i="11"/>
  <c r="J169" i="11"/>
  <c r="K144" i="11"/>
  <c r="J144" i="11"/>
  <c r="K25" i="11"/>
  <c r="J25" i="11"/>
  <c r="K19" i="11"/>
  <c r="J19" i="11"/>
  <c r="K179" i="11"/>
  <c r="J179" i="11"/>
  <c r="K155" i="11"/>
  <c r="J155" i="11"/>
  <c r="K46" i="11"/>
  <c r="J46" i="11"/>
  <c r="K61" i="11"/>
  <c r="J61" i="11"/>
  <c r="K51" i="11"/>
  <c r="J51" i="11"/>
  <c r="K53" i="11"/>
  <c r="J53" i="11"/>
  <c r="K31" i="11"/>
  <c r="J31" i="11"/>
  <c r="K28" i="11"/>
  <c r="J28" i="11"/>
  <c r="K58" i="11"/>
  <c r="J58" i="11"/>
  <c r="K54" i="11"/>
  <c r="J54" i="11"/>
  <c r="K39" i="11"/>
  <c r="J39" i="11"/>
  <c r="K26" i="11"/>
  <c r="J26" i="11"/>
  <c r="K210" i="11"/>
  <c r="J210" i="11"/>
  <c r="K232" i="11"/>
  <c r="J232" i="11"/>
  <c r="K296" i="11"/>
  <c r="J296" i="11"/>
  <c r="K305" i="11"/>
  <c r="J305" i="11"/>
  <c r="K183" i="11"/>
  <c r="J183" i="11"/>
  <c r="K167" i="11"/>
  <c r="J167" i="11"/>
  <c r="K203" i="11"/>
  <c r="J203" i="11"/>
  <c r="K215" i="11"/>
  <c r="J215" i="11"/>
  <c r="K220" i="11"/>
  <c r="J220" i="11"/>
  <c r="K207" i="11"/>
  <c r="J207" i="11"/>
  <c r="K344" i="11"/>
  <c r="J344" i="11"/>
  <c r="K350" i="11"/>
  <c r="J350" i="11"/>
  <c r="K368" i="11"/>
  <c r="J368" i="11"/>
  <c r="K365" i="11"/>
  <c r="J365" i="11"/>
  <c r="K343" i="11"/>
  <c r="J343" i="11"/>
  <c r="K360" i="11"/>
  <c r="J360" i="11"/>
  <c r="K317" i="11"/>
  <c r="J317" i="11"/>
  <c r="K319" i="11"/>
  <c r="J319" i="11"/>
  <c r="K362" i="11"/>
  <c r="J362" i="11"/>
  <c r="K351" i="11"/>
  <c r="J351" i="11"/>
  <c r="K377" i="11"/>
  <c r="J377" i="11"/>
  <c r="K394" i="11"/>
  <c r="J394" i="11"/>
  <c r="K386" i="11"/>
  <c r="J386" i="11"/>
  <c r="K339" i="11"/>
  <c r="J339" i="11"/>
  <c r="K254" i="11"/>
  <c r="J254" i="11"/>
  <c r="K313" i="11"/>
  <c r="J313" i="11"/>
  <c r="K379" i="11"/>
  <c r="J379" i="11"/>
  <c r="K347" i="11"/>
  <c r="J347" i="11"/>
  <c r="K69" i="11"/>
  <c r="J69" i="11"/>
  <c r="K68" i="11"/>
  <c r="J68" i="11"/>
  <c r="K150" i="11"/>
  <c r="J150" i="11"/>
  <c r="K164" i="11"/>
  <c r="J164" i="11"/>
  <c r="K165" i="11"/>
  <c r="J165" i="11"/>
  <c r="K166" i="11"/>
  <c r="J166" i="11"/>
  <c r="K9" i="11"/>
  <c r="J9" i="11"/>
  <c r="K12" i="11"/>
  <c r="J12" i="11"/>
  <c r="K125" i="11"/>
  <c r="J125" i="11"/>
  <c r="K143" i="11"/>
  <c r="J143" i="11"/>
  <c r="K211" i="11"/>
  <c r="J211" i="11"/>
  <c r="K238" i="11"/>
  <c r="J238" i="11"/>
  <c r="K94" i="11"/>
  <c r="J94" i="11"/>
  <c r="K91" i="11"/>
  <c r="J91" i="11"/>
  <c r="K260" i="11"/>
  <c r="J260" i="11"/>
  <c r="K280" i="11"/>
  <c r="J280" i="11"/>
  <c r="K52" i="11"/>
  <c r="J52" i="11"/>
  <c r="K93" i="11"/>
  <c r="J93" i="11"/>
  <c r="K161" i="11"/>
  <c r="J161" i="11"/>
  <c r="K157" i="11"/>
  <c r="J157" i="11"/>
  <c r="K104" i="11"/>
  <c r="J104" i="11"/>
  <c r="K109" i="11"/>
  <c r="J109" i="11"/>
  <c r="K96" i="11"/>
  <c r="J96" i="11"/>
  <c r="K64" i="11"/>
  <c r="J64" i="11"/>
  <c r="K74" i="11"/>
  <c r="J74" i="11"/>
  <c r="K60" i="11"/>
  <c r="J60" i="11"/>
  <c r="K107" i="11"/>
  <c r="J107" i="11"/>
  <c r="K117" i="11"/>
  <c r="J117" i="11"/>
  <c r="K4" i="11"/>
  <c r="J4" i="11"/>
  <c r="K5" i="11"/>
  <c r="J5" i="11"/>
  <c r="K233" i="11"/>
  <c r="J233" i="11"/>
  <c r="K221" i="11"/>
  <c r="J221" i="11"/>
  <c r="K327" i="11"/>
  <c r="J327" i="11"/>
  <c r="K322" i="11"/>
  <c r="J322" i="11"/>
  <c r="K293" i="11"/>
  <c r="J293" i="11"/>
  <c r="K281" i="11"/>
  <c r="J281" i="11"/>
  <c r="K189" i="11"/>
  <c r="J189" i="11"/>
  <c r="K170" i="11"/>
  <c r="J170" i="11"/>
  <c r="K323" i="11"/>
  <c r="J323" i="11"/>
  <c r="K297" i="11"/>
  <c r="J297" i="11"/>
  <c r="K66" i="11"/>
  <c r="J66" i="11"/>
  <c r="K80" i="11"/>
  <c r="J80" i="11"/>
  <c r="K112" i="11"/>
  <c r="J112" i="11"/>
  <c r="K122" i="11"/>
  <c r="J122" i="11"/>
  <c r="K70" i="11"/>
  <c r="J70" i="11"/>
  <c r="K72" i="11"/>
  <c r="J72" i="11"/>
  <c r="K110" i="11"/>
  <c r="J110" i="11"/>
  <c r="K87" i="11"/>
  <c r="J87" i="11"/>
  <c r="K13" i="11"/>
  <c r="J13" i="11"/>
  <c r="K11" i="11"/>
  <c r="J11" i="11"/>
  <c r="K63" i="11"/>
  <c r="J63" i="11"/>
  <c r="K47" i="11"/>
  <c r="J47" i="11"/>
  <c r="K180" i="11"/>
  <c r="J180" i="11"/>
  <c r="K172" i="11"/>
  <c r="J172" i="11"/>
  <c r="K171" i="11"/>
  <c r="J171" i="11"/>
  <c r="K181" i="11"/>
  <c r="J181" i="11"/>
  <c r="K190" i="11"/>
  <c r="J190" i="11"/>
  <c r="K184" i="11"/>
  <c r="J184" i="11"/>
  <c r="K195" i="11"/>
  <c r="J195" i="11"/>
  <c r="K192" i="11"/>
  <c r="J192" i="11"/>
  <c r="K149" i="11"/>
  <c r="J149" i="11"/>
  <c r="K134" i="11"/>
  <c r="J134" i="11"/>
  <c r="K283" i="11"/>
  <c r="J283" i="11"/>
  <c r="K271" i="11"/>
  <c r="J271" i="11"/>
  <c r="K255" i="11"/>
  <c r="J255" i="11"/>
  <c r="K239" i="11"/>
  <c r="J239" i="11"/>
  <c r="K177" i="11"/>
  <c r="J177" i="11"/>
  <c r="K173" i="11"/>
  <c r="J173" i="11"/>
  <c r="K223" i="11"/>
  <c r="J223" i="11"/>
  <c r="K200" i="11"/>
  <c r="J200" i="11"/>
  <c r="K45" i="11"/>
  <c r="J45" i="11"/>
  <c r="K62" i="11"/>
  <c r="J62" i="11"/>
  <c r="K133" i="11"/>
  <c r="J133" i="11"/>
  <c r="K124" i="11"/>
  <c r="J124" i="11"/>
  <c r="K121" i="11"/>
  <c r="J121" i="11"/>
  <c r="K119" i="11"/>
  <c r="J119" i="11"/>
  <c r="K6" i="11"/>
  <c r="J6" i="11"/>
  <c r="K7" i="11"/>
  <c r="J7" i="11"/>
  <c r="K142" i="11"/>
  <c r="J142" i="11"/>
  <c r="K123" i="11"/>
  <c r="J123" i="11"/>
  <c r="K188" i="11"/>
  <c r="J188" i="11"/>
  <c r="K193" i="11"/>
  <c r="J193" i="11"/>
  <c r="K227" i="11"/>
  <c r="J227" i="11"/>
  <c r="K231" i="11"/>
  <c r="J231" i="11"/>
  <c r="K261" i="11"/>
  <c r="J261" i="11"/>
  <c r="K247" i="11"/>
  <c r="J247" i="11"/>
  <c r="K152" i="11"/>
  <c r="J152" i="11"/>
  <c r="K139" i="11"/>
  <c r="J139" i="11"/>
  <c r="K400" i="11"/>
  <c r="J400" i="11"/>
  <c r="K407" i="11"/>
  <c r="J407" i="11"/>
  <c r="K410" i="11"/>
  <c r="J410" i="11"/>
  <c r="K409" i="11"/>
  <c r="J409" i="11"/>
  <c r="K346" i="11"/>
  <c r="J346" i="11"/>
  <c r="K357" i="11"/>
  <c r="J357" i="11"/>
  <c r="K396" i="11"/>
  <c r="J396" i="11"/>
  <c r="K393" i="11"/>
  <c r="J393" i="11"/>
  <c r="K419" i="11"/>
  <c r="J419" i="11"/>
  <c r="K417" i="11"/>
  <c r="J417" i="11"/>
  <c r="K358" i="11"/>
  <c r="J358" i="11"/>
  <c r="K367" i="11"/>
  <c r="J367" i="11"/>
  <c r="K404" i="11"/>
  <c r="J404" i="11"/>
  <c r="K406" i="11"/>
  <c r="J406" i="11"/>
  <c r="K411" i="11"/>
  <c r="J411" i="11"/>
  <c r="K420" i="11"/>
  <c r="J420" i="11"/>
  <c r="K236" i="11"/>
  <c r="J236" i="11"/>
  <c r="K242" i="11"/>
  <c r="J242" i="11"/>
  <c r="K273" i="11"/>
  <c r="J273" i="11"/>
  <c r="K270" i="11"/>
  <c r="J270" i="11"/>
  <c r="K303" i="11"/>
  <c r="J303" i="11"/>
  <c r="K298" i="11"/>
  <c r="J298" i="11"/>
  <c r="K304" i="11"/>
  <c r="J304" i="11"/>
  <c r="K314" i="11"/>
  <c r="J314" i="11"/>
  <c r="K301" i="11"/>
  <c r="J301" i="11"/>
  <c r="K292" i="11"/>
  <c r="J292" i="11"/>
  <c r="K101" i="11"/>
  <c r="J101" i="11"/>
  <c r="K113" i="11"/>
  <c r="J113" i="11"/>
  <c r="K331" i="11"/>
  <c r="J331" i="11"/>
  <c r="K330" i="11"/>
  <c r="J330" i="11"/>
  <c r="K272" i="11"/>
  <c r="J272" i="11"/>
  <c r="K295" i="11"/>
  <c r="J295" i="11"/>
  <c r="K256" i="11"/>
  <c r="J256" i="11"/>
  <c r="K252" i="11"/>
  <c r="J252" i="11"/>
  <c r="K262" i="11"/>
  <c r="J262" i="11"/>
  <c r="K391" i="11"/>
  <c r="J391" i="11"/>
  <c r="K383" i="11"/>
  <c r="J383" i="11"/>
  <c r="K390" i="11"/>
  <c r="J390" i="11"/>
  <c r="K399" i="11"/>
  <c r="J399" i="11"/>
  <c r="K395" i="11"/>
  <c r="J395" i="11"/>
  <c r="K374" i="11"/>
  <c r="J374" i="11"/>
  <c r="K372" i="11"/>
  <c r="J372" i="11"/>
  <c r="K416" i="11"/>
  <c r="J416" i="11"/>
  <c r="K415" i="11"/>
  <c r="J415" i="11"/>
  <c r="K42" i="11"/>
  <c r="J42" i="11"/>
  <c r="K35" i="11"/>
  <c r="J35" i="11"/>
  <c r="K100" i="11"/>
  <c r="J100" i="11"/>
  <c r="K106" i="11"/>
  <c r="J106" i="11"/>
  <c r="K145" i="11"/>
  <c r="J145" i="11"/>
  <c r="K132" i="11"/>
  <c r="J132" i="11"/>
  <c r="K105" i="11"/>
  <c r="J105" i="11"/>
  <c r="K83" i="11"/>
  <c r="J83" i="11"/>
  <c r="K175" i="11"/>
  <c r="J175" i="11"/>
  <c r="K146" i="11"/>
  <c r="J146" i="11"/>
  <c r="K363" i="11"/>
  <c r="J363" i="11"/>
  <c r="K361" i="11"/>
  <c r="J361" i="11"/>
  <c r="K310" i="11"/>
  <c r="J310" i="11"/>
  <c r="K321" i="11"/>
  <c r="J321" i="11"/>
  <c r="K334" i="11"/>
  <c r="J334" i="11"/>
  <c r="J348" i="11"/>
  <c r="K274" i="11"/>
  <c r="J274" i="11"/>
  <c r="K265" i="11"/>
  <c r="J265" i="11"/>
  <c r="K264" i="11"/>
  <c r="J264" i="11"/>
  <c r="K263" i="11"/>
  <c r="J263" i="11"/>
  <c r="K85" i="11"/>
  <c r="J85" i="11"/>
  <c r="K97" i="11"/>
  <c r="J97" i="11"/>
  <c r="K258" i="11"/>
  <c r="J258" i="11"/>
  <c r="K257" i="11"/>
  <c r="J257" i="11"/>
  <c r="K259" i="11"/>
  <c r="J259" i="11"/>
  <c r="K267" i="11"/>
  <c r="J267" i="11"/>
  <c r="K237" i="11"/>
  <c r="J237" i="11"/>
  <c r="K356" i="11"/>
  <c r="J356" i="11"/>
  <c r="K370" i="11"/>
  <c r="J370" i="11"/>
  <c r="K414" i="11"/>
  <c r="J414" i="11"/>
  <c r="K380" i="11"/>
  <c r="J380" i="11"/>
  <c r="K413" i="11"/>
  <c r="J413" i="11"/>
  <c r="K349" i="11"/>
  <c r="J349" i="11"/>
  <c r="K412" i="11"/>
  <c r="J412" i="11"/>
  <c r="K397" i="11"/>
  <c r="J397" i="11"/>
  <c r="K423" i="11"/>
  <c r="J423" i="11"/>
  <c r="K59" i="11"/>
  <c r="J59" i="11"/>
  <c r="K57" i="11"/>
  <c r="J57" i="11"/>
  <c r="K84" i="11"/>
  <c r="J84" i="11"/>
  <c r="K95" i="11"/>
  <c r="J95" i="11"/>
  <c r="K135" i="11"/>
  <c r="J135" i="11"/>
  <c r="K128" i="11"/>
  <c r="J128" i="11"/>
  <c r="K56" i="11"/>
  <c r="J56" i="11"/>
  <c r="K50" i="11"/>
  <c r="J50" i="11"/>
  <c r="K137" i="11"/>
  <c r="J137" i="11"/>
  <c r="K138" i="11"/>
  <c r="J138" i="11"/>
  <c r="K186" i="11"/>
  <c r="J186" i="11"/>
  <c r="K216" i="11"/>
  <c r="J216" i="11"/>
  <c r="K312" i="11"/>
  <c r="J312" i="11"/>
  <c r="K324" i="11"/>
  <c r="J324" i="11"/>
  <c r="K269" i="11"/>
  <c r="J269" i="11"/>
  <c r="K287" i="11"/>
  <c r="J287" i="11"/>
  <c r="K291" i="11"/>
  <c r="J291" i="11"/>
  <c r="K294" i="11"/>
  <c r="J294" i="11"/>
  <c r="K371" i="11"/>
  <c r="J371" i="11"/>
  <c r="K369" i="11"/>
  <c r="J369" i="11"/>
  <c r="K40" i="11"/>
  <c r="J40" i="11"/>
  <c r="K41" i="11"/>
  <c r="J41" i="11"/>
  <c r="K202" i="11"/>
  <c r="J202" i="11"/>
  <c r="K191" i="11"/>
  <c r="J191" i="11"/>
  <c r="K82" i="11"/>
  <c r="J82" i="11"/>
  <c r="K103" i="11"/>
  <c r="J103" i="11"/>
  <c r="K48" i="11"/>
  <c r="J48" i="11"/>
  <c r="K43" i="11"/>
  <c r="J43" i="11"/>
  <c r="K148" i="11"/>
  <c r="J148" i="11"/>
  <c r="K163" i="11"/>
  <c r="J163" i="11"/>
  <c r="K243" i="11"/>
  <c r="J243" i="11"/>
  <c r="K275" i="11"/>
  <c r="J275" i="11"/>
  <c r="K266" i="11"/>
  <c r="J266" i="11"/>
  <c r="K248" i="11"/>
  <c r="J248" i="11"/>
  <c r="K23" i="11"/>
  <c r="J23" i="11"/>
  <c r="K22" i="11"/>
  <c r="J22" i="11"/>
  <c r="K118" i="11"/>
  <c r="J118" i="11"/>
  <c r="K111" i="11"/>
  <c r="J111" i="11"/>
  <c r="K176" i="11"/>
  <c r="J176" i="11"/>
  <c r="K219" i="11"/>
  <c r="J219" i="11"/>
  <c r="K378" i="11"/>
  <c r="J378" i="11"/>
  <c r="K392" i="11"/>
  <c r="J392" i="11"/>
  <c r="K418" i="11"/>
  <c r="J418" i="11"/>
  <c r="K421" i="11"/>
  <c r="J421" i="11"/>
  <c r="K384" i="11"/>
  <c r="J384" i="11"/>
  <c r="K382" i="11"/>
  <c r="J382" i="11"/>
  <c r="K355" i="11"/>
  <c r="J355" i="11"/>
  <c r="K354" i="11"/>
  <c r="J354" i="11"/>
  <c r="K373" i="11"/>
  <c r="J373" i="11"/>
  <c r="K376" i="11"/>
  <c r="J376" i="11"/>
  <c r="K320" i="11"/>
  <c r="J320" i="11"/>
  <c r="K352" i="11"/>
  <c r="J352" i="11"/>
  <c r="K307" i="11"/>
  <c r="J307" i="11"/>
  <c r="K315" i="11"/>
  <c r="J315" i="11"/>
  <c r="K326" i="11"/>
  <c r="J326" i="11"/>
  <c r="K341" i="11"/>
  <c r="J341" i="11"/>
  <c r="K230" i="11"/>
  <c r="J230" i="11"/>
  <c r="K246" i="11"/>
  <c r="J246" i="11"/>
  <c r="K194" i="11"/>
  <c r="J194" i="11"/>
  <c r="K182" i="11"/>
  <c r="J182" i="11"/>
  <c r="K92" i="11"/>
  <c r="J92" i="11"/>
  <c r="K116" i="11"/>
  <c r="J116" i="11"/>
  <c r="K55" i="11"/>
  <c r="J55" i="11"/>
  <c r="K49" i="11"/>
  <c r="J49" i="11"/>
  <c r="K75" i="11"/>
  <c r="J75" i="11"/>
  <c r="K78" i="11"/>
  <c r="J78" i="11"/>
  <c r="K24" i="11"/>
  <c r="J24" i="11"/>
  <c r="K20" i="11"/>
  <c r="J20" i="11"/>
  <c r="K178" i="11"/>
  <c r="J178" i="11"/>
  <c r="K217" i="11"/>
  <c r="J217" i="11"/>
  <c r="K197" i="11"/>
  <c r="J197" i="11"/>
  <c r="K214" i="11"/>
  <c r="J214" i="11"/>
  <c r="K234" i="11"/>
  <c r="J234" i="11"/>
  <c r="K213" i="11"/>
  <c r="J213" i="11"/>
  <c r="K18" i="11"/>
  <c r="J18" i="11"/>
  <c r="K21" i="11"/>
  <c r="J21" i="11"/>
  <c r="K159" i="11"/>
  <c r="J159" i="11"/>
  <c r="K154" i="11"/>
  <c r="J154" i="11"/>
  <c r="K226" i="11"/>
  <c r="J226" i="11"/>
  <c r="K187" i="11"/>
  <c r="J187" i="11"/>
  <c r="K162" i="11"/>
  <c r="J162" i="11"/>
  <c r="K174" i="11"/>
  <c r="J174" i="11"/>
  <c r="K114" i="11"/>
  <c r="J114" i="11"/>
  <c r="K115" i="11"/>
  <c r="J115" i="11"/>
  <c r="K129" i="11"/>
  <c r="J129" i="11"/>
  <c r="K120" i="11"/>
  <c r="J120" i="11"/>
  <c r="K33" i="11"/>
  <c r="J33" i="11"/>
  <c r="K37" i="11"/>
  <c r="J37" i="11"/>
  <c r="K34" i="11"/>
  <c r="J34" i="11"/>
  <c r="K27" i="11"/>
  <c r="J27" i="11"/>
  <c r="K136" i="11"/>
  <c r="J136" i="11"/>
  <c r="K140" i="11"/>
  <c r="J140" i="11"/>
  <c r="K76" i="11"/>
  <c r="J76" i="11"/>
  <c r="K79" i="11"/>
  <c r="J79" i="11"/>
  <c r="K8" i="11"/>
  <c r="J8" i="11"/>
  <c r="K10" i="11"/>
  <c r="J10" i="11"/>
  <c r="K102" i="11"/>
  <c r="J102" i="11"/>
  <c r="K88" i="11"/>
  <c r="J88" i="11"/>
  <c r="K44" i="11"/>
  <c r="J44" i="11"/>
  <c r="K29" i="11"/>
  <c r="J29" i="11"/>
  <c r="K151" i="11"/>
  <c r="J151" i="11"/>
  <c r="K160" i="11"/>
  <c r="J160" i="11"/>
  <c r="K86" i="11"/>
  <c r="J86" i="11"/>
  <c r="K81" i="11"/>
  <c r="J81" i="11"/>
  <c r="K14" i="11"/>
  <c r="J14" i="11"/>
  <c r="K15" i="11"/>
  <c r="J15" i="11"/>
  <c r="K130" i="11"/>
  <c r="J130" i="11"/>
  <c r="K131" i="11"/>
  <c r="J131" i="11"/>
  <c r="K366" i="11"/>
  <c r="J366" i="11"/>
  <c r="K403" i="11"/>
  <c r="J403" i="11"/>
  <c r="K402" i="11"/>
  <c r="J402" i="11"/>
  <c r="K422" i="11"/>
  <c r="J422" i="11"/>
  <c r="K375" i="11"/>
  <c r="J375" i="11"/>
  <c r="K401" i="11"/>
  <c r="J401" i="11"/>
  <c r="K309" i="11"/>
  <c r="J309" i="11"/>
  <c r="K338" i="11"/>
  <c r="J338" i="11"/>
  <c r="K342" i="11"/>
  <c r="J342" i="11"/>
  <c r="K359" i="11"/>
  <c r="J359" i="11"/>
  <c r="K337" i="11"/>
  <c r="J337" i="11"/>
  <c r="K328" i="11"/>
  <c r="J328" i="11"/>
  <c r="K212" i="11"/>
  <c r="J212" i="11"/>
  <c r="K196" i="11"/>
  <c r="J196" i="11"/>
  <c r="K288" i="11"/>
  <c r="J288" i="11"/>
  <c r="K302" i="11"/>
  <c r="J302" i="11"/>
  <c r="K318" i="11"/>
  <c r="J318" i="11"/>
  <c r="K299" i="11"/>
  <c r="J299" i="11"/>
  <c r="K385" i="11"/>
  <c r="J385" i="11"/>
  <c r="K389" i="11"/>
  <c r="J389" i="11"/>
  <c r="K332" i="11"/>
  <c r="J332" i="11"/>
  <c r="K126" i="11"/>
  <c r="J126" i="11"/>
  <c r="K158" i="11"/>
  <c r="J158" i="11"/>
  <c r="K235" i="11"/>
  <c r="J235" i="11"/>
  <c r="K240" i="11"/>
  <c r="J240" i="11"/>
  <c r="K253" i="11"/>
  <c r="J253" i="11"/>
  <c r="K241" i="11"/>
  <c r="J241" i="11"/>
  <c r="K168" i="11"/>
  <c r="J168" i="11"/>
  <c r="K224" i="11"/>
  <c r="J224" i="11"/>
  <c r="K153" i="11"/>
  <c r="J153" i="11"/>
  <c r="K205" i="11"/>
  <c r="J205" i="11"/>
  <c r="K244" i="11"/>
  <c r="J244" i="11"/>
  <c r="K277" i="11"/>
  <c r="J277" i="11"/>
  <c r="K387" i="11"/>
  <c r="J387" i="11"/>
  <c r="K381" i="11"/>
  <c r="J381" i="11"/>
  <c r="K329" i="11"/>
  <c r="J329" i="11"/>
  <c r="K311" i="11"/>
  <c r="J311" i="11"/>
  <c r="K229" i="11"/>
  <c r="J229" i="11"/>
  <c r="K325" i="11"/>
  <c r="J325" i="11"/>
  <c r="I250" i="11"/>
  <c r="K250" i="11" s="1"/>
  <c r="K284" i="11"/>
  <c r="J284" i="11"/>
  <c r="I282" i="11"/>
  <c r="K282" i="11" s="1"/>
  <c r="K353" i="11"/>
  <c r="J353" i="11"/>
  <c r="K73" i="11"/>
  <c r="J73" i="11"/>
  <c r="K65" i="11"/>
  <c r="J65" i="11"/>
  <c r="K185" i="11"/>
  <c r="J185" i="11"/>
  <c r="K141" i="11"/>
  <c r="J141" i="11"/>
  <c r="K127" i="11"/>
  <c r="J127" i="11"/>
  <c r="K156" i="11"/>
  <c r="J156" i="11"/>
  <c r="K218" i="11"/>
  <c r="J218" i="11"/>
  <c r="K199" i="11"/>
  <c r="J199" i="11"/>
  <c r="K333" i="11"/>
  <c r="J333" i="11"/>
  <c r="K335" i="11"/>
  <c r="J335" i="11"/>
  <c r="K286" i="11"/>
  <c r="J286" i="11"/>
  <c r="K290" i="11"/>
  <c r="J290" i="11"/>
  <c r="K300" i="11"/>
  <c r="J300" i="11"/>
  <c r="K206" i="11"/>
  <c r="J206" i="11"/>
  <c r="I268" i="11"/>
  <c r="J268" i="11" s="1"/>
  <c r="K289" i="11"/>
  <c r="J289" i="11"/>
  <c r="K364" i="11"/>
  <c r="J364" i="11"/>
  <c r="K408" i="11"/>
  <c r="J408" i="11"/>
  <c r="K345" i="11"/>
  <c r="J345" i="11"/>
  <c r="K405" i="11"/>
  <c r="J405" i="11"/>
  <c r="K147" i="11"/>
  <c r="J147" i="11"/>
  <c r="K276" i="11"/>
  <c r="J276" i="11"/>
  <c r="K204" i="11"/>
  <c r="J204" i="11"/>
  <c r="K308" i="11"/>
  <c r="J308" i="11"/>
  <c r="K208" i="11"/>
  <c r="J208" i="11"/>
  <c r="K340" i="11"/>
  <c r="J340" i="11"/>
  <c r="K209" i="11"/>
  <c r="J209" i="11"/>
  <c r="K336" i="11"/>
  <c r="J336" i="11"/>
  <c r="K285" i="11"/>
  <c r="J285" i="11"/>
  <c r="J250" i="11" l="1"/>
  <c r="K268" i="11"/>
  <c r="J282" i="11"/>
</calcChain>
</file>

<file path=xl/sharedStrings.xml><?xml version="1.0" encoding="utf-8"?>
<sst xmlns="http://schemas.openxmlformats.org/spreadsheetml/2006/main" count="2543" uniqueCount="81">
  <si>
    <t>Market</t>
  </si>
  <si>
    <t>Brand</t>
  </si>
  <si>
    <t>Originating Country</t>
  </si>
  <si>
    <t>Segment (Volume/Premium/Luxury)</t>
  </si>
  <si>
    <t>Powertrain focus (EV only / All)</t>
  </si>
  <si>
    <t>OEM Type</t>
  </si>
  <si>
    <t>Year</t>
  </si>
  <si>
    <t>Sales</t>
  </si>
  <si>
    <t>Unique Visitors</t>
  </si>
  <si>
    <t>Visits to sale (UV)</t>
  </si>
  <si>
    <t>Conversion rate (UV)</t>
  </si>
  <si>
    <t>UK</t>
  </si>
  <si>
    <t>Alfa Romeo</t>
  </si>
  <si>
    <t>Alpine</t>
  </si>
  <si>
    <t>Audi</t>
  </si>
  <si>
    <t>BMW</t>
  </si>
  <si>
    <t>BYD Auto</t>
  </si>
  <si>
    <t>Citroen</t>
  </si>
  <si>
    <t>CUPRA</t>
  </si>
  <si>
    <t>Dacia</t>
  </si>
  <si>
    <t>DS</t>
  </si>
  <si>
    <t>Ferrari</t>
  </si>
  <si>
    <t>Fiat</t>
  </si>
  <si>
    <t>Ford</t>
  </si>
  <si>
    <t>Geely</t>
  </si>
  <si>
    <t>Genesis</t>
  </si>
  <si>
    <t>Honda</t>
  </si>
  <si>
    <t>Hyundai</t>
  </si>
  <si>
    <t>Jaecoo</t>
  </si>
  <si>
    <t>Jaguar</t>
  </si>
  <si>
    <t>Jeep</t>
  </si>
  <si>
    <t>KGM</t>
  </si>
  <si>
    <t>Kia</t>
  </si>
  <si>
    <t>Lamborghini</t>
  </si>
  <si>
    <t xml:space="preserve">Land Rover </t>
  </si>
  <si>
    <t>Leapmotor</t>
  </si>
  <si>
    <t>Lexus</t>
  </si>
  <si>
    <t>Lotus</t>
  </si>
  <si>
    <t xml:space="preserve">Maserati </t>
  </si>
  <si>
    <t>Mazda</t>
  </si>
  <si>
    <t>Mercedes-Benz</t>
  </si>
  <si>
    <t>MG</t>
  </si>
  <si>
    <t>MINI</t>
  </si>
  <si>
    <t>Nissan</t>
  </si>
  <si>
    <t>Omoda</t>
  </si>
  <si>
    <t>Peugeot</t>
  </si>
  <si>
    <t>Polestar</t>
  </si>
  <si>
    <t>Porsche</t>
  </si>
  <si>
    <t>Renault</t>
  </si>
  <si>
    <t>SEAT</t>
  </si>
  <si>
    <t>Skoda</t>
  </si>
  <si>
    <t>smart</t>
  </si>
  <si>
    <t>Subaru</t>
  </si>
  <si>
    <t>Suzuki</t>
  </si>
  <si>
    <t>Tesla</t>
  </si>
  <si>
    <t>Toyota</t>
  </si>
  <si>
    <t>Vauxhall</t>
  </si>
  <si>
    <t>Volvo</t>
  </si>
  <si>
    <t>VW</t>
  </si>
  <si>
    <t>XPeng</t>
  </si>
  <si>
    <t>Italy</t>
  </si>
  <si>
    <t>France</t>
  </si>
  <si>
    <t>United Kingdom</t>
  </si>
  <si>
    <t>Germany</t>
  </si>
  <si>
    <t>China</t>
  </si>
  <si>
    <t>Spain</t>
  </si>
  <si>
    <t>Romania</t>
  </si>
  <si>
    <t>United States</t>
  </si>
  <si>
    <t>South Korea</t>
  </si>
  <si>
    <t>Japan</t>
  </si>
  <si>
    <t>Sweden</t>
  </si>
  <si>
    <t>Czech Republic</t>
  </si>
  <si>
    <t>Premium</t>
  </si>
  <si>
    <t>Volume</t>
  </si>
  <si>
    <t>Luxury</t>
  </si>
  <si>
    <t>All</t>
  </si>
  <si>
    <t>EV only</t>
  </si>
  <si>
    <t>Traditional OEM</t>
  </si>
  <si>
    <t>Disrupter OEM</t>
  </si>
  <si>
    <t>GWM Ora</t>
  </si>
  <si>
    <t>Opel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</si>
</sst>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0" fontId="2" fillId="2" borderId="1" xfId="0" applyFon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54445-8093-E448-94C4-83EE60D7D8B9}" name="Table13" displayName="Table13" ref="A1:K423" totalsRowShown="0" headerRowDxfId="14" dataDxfId="12" headerRowBorderDxfId="13" tableBorderDxfId="11">
  <sortState xmlns:xlrd2="http://schemas.microsoft.com/office/spreadsheetml/2017/richdata2" ref="A2:K423">
    <sortCondition descending="1" ref="H3:H423"/>
  </sortState>
  <tableColumns count="11">
    <tableColumn id="1" xr3:uid="{5814A8AC-957D-B342-9986-9D8AC636E696}" name="Market" dataDxfId="10"/>
    <tableColumn id="2" xr3:uid="{8967F50E-3155-DB4D-B4D7-69A138A1FD67}" name="Brand" dataDxfId="9"/>
    <tableColumn id="3" xr3:uid="{178B62BC-204A-FD45-8600-9904DF792D4F}" name="Originating Country" dataDxfId="8"/>
    <tableColumn id="4" xr3:uid="{CC017FB9-F015-FA4E-BECA-A2B422286616}" name="Segment (Volume/Premium/Luxury)" dataDxfId="7"/>
    <tableColumn id="5" xr3:uid="{1DF5161F-13F9-A247-B631-8220EC53AD1E}" name="Powertrain focus (EV only / All)" dataDxfId="6"/>
    <tableColumn id="6" xr3:uid="{9F46095A-7271-5547-9116-3EFCE06DB328}" name="OEM Type" dataDxfId="5"/>
    <tableColumn id="7" xr3:uid="{24E76680-C55E-9F4A-9E2A-37D5FC0A09F2}" name="Year" dataDxfId="4"/>
    <tableColumn id="8" xr3:uid="{30CAB6DE-1732-AA45-9E33-4FE0162888EF}" name="Sales" dataDxfId="3"/>
    <tableColumn id="9" xr3:uid="{B211A179-667E-3E4A-9E79-9F5FEDB0C66F}" name="Unique Visitors" dataDxfId="2"/>
    <tableColumn id="10" xr3:uid="{AA3710F3-4F68-E649-B96E-D9DCDA59C98B}" name="Visits to sale (UV)" dataDxfId="1">
      <calculatedColumnFormula>Table13[[#This Row],[Unique Visitors]]/Table13[[#This Row],[Sales]]</calculatedColumnFormula>
    </tableColumn>
    <tableColumn id="11" xr3:uid="{733D3119-3DCD-524C-919D-A9FF784357BC}" name="Conversion rate (UV)" dataDxfId="0">
      <calculatedColumnFormula>Table13[[#This Row],[Sales]]/Table13[[#This Row],[Unique Visitors]]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C4A9-22E2-6641-8EDC-410E30556203}">
  <dimension ref="A1:P423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9.1640625" style="2" customWidth="1"/>
    <col min="2" max="2" width="13.5" style="2" customWidth="1"/>
    <col min="3" max="3" width="43.5" style="2" customWidth="1"/>
    <col min="4" max="4" width="18.5" style="2" customWidth="1"/>
    <col min="5" max="5" width="31.83203125" style="2" customWidth="1"/>
    <col min="6" max="6" width="27.1640625" style="2" customWidth="1"/>
    <col min="7" max="7" width="17.83203125" style="2" customWidth="1"/>
    <col min="8" max="8" width="8.83203125" style="2" customWidth="1"/>
    <col min="9" max="9" width="11.6640625" style="2" customWidth="1"/>
    <col min="10" max="10" width="15.33203125" style="2" customWidth="1"/>
    <col min="11" max="11" width="16.6640625" style="2" customWidth="1"/>
    <col min="12" max="12" width="19.33203125" style="2" customWidth="1"/>
    <col min="15" max="15" width="12.1640625" customWidth="1"/>
  </cols>
  <sheetData>
    <row r="1" spans="1:16" s="1" customFormat="1" ht="4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6" x14ac:dyDescent="0.2">
      <c r="A2" s="2" t="s">
        <v>63</v>
      </c>
      <c r="B2" s="2" t="s">
        <v>58</v>
      </c>
      <c r="C2" s="2" t="s">
        <v>63</v>
      </c>
      <c r="D2" s="2" t="s">
        <v>73</v>
      </c>
      <c r="E2" s="2" t="s">
        <v>75</v>
      </c>
      <c r="F2" s="2" t="s">
        <v>77</v>
      </c>
      <c r="G2" s="2">
        <v>2025</v>
      </c>
      <c r="H2" s="3">
        <v>536888</v>
      </c>
      <c r="I2" s="3">
        <v>13265575.162910009</v>
      </c>
      <c r="J2" s="4">
        <f>Table13[[#This Row],[Unique Visitors]]/Table13[[#This Row],[Sales]]</f>
        <v>24.708272792295617</v>
      </c>
      <c r="K2" s="5">
        <f>Table13[[#This Row],[Sales]]/Table13[[#This Row],[Unique Visitors]]</f>
        <v>4.0472274545706566E-2</v>
      </c>
      <c r="L2"/>
    </row>
    <row r="3" spans="1:16" x14ac:dyDescent="0.2">
      <c r="A3" s="2" t="s">
        <v>63</v>
      </c>
      <c r="B3" s="2" t="s">
        <v>58</v>
      </c>
      <c r="C3" s="2" t="s">
        <v>63</v>
      </c>
      <c r="D3" s="2" t="s">
        <v>73</v>
      </c>
      <c r="E3" s="2" t="s">
        <v>75</v>
      </c>
      <c r="F3" s="2" t="s">
        <v>77</v>
      </c>
      <c r="G3" s="2">
        <v>2024</v>
      </c>
      <c r="H3" s="3">
        <v>535947</v>
      </c>
      <c r="I3" s="3">
        <v>12908757.512065304</v>
      </c>
      <c r="J3" s="4">
        <f>Table13[[#This Row],[Unique Visitors]]/Table13[[#This Row],[Sales]]</f>
        <v>24.085884447651175</v>
      </c>
      <c r="K3" s="5">
        <f>Table13[[#This Row],[Sales]]/Table13[[#This Row],[Unique Visitors]]</f>
        <v>4.1518093395051504E-2</v>
      </c>
      <c r="L3"/>
    </row>
    <row r="4" spans="1:16" x14ac:dyDescent="0.2">
      <c r="A4" s="2" t="s">
        <v>61</v>
      </c>
      <c r="B4" s="2" t="s">
        <v>48</v>
      </c>
      <c r="C4" s="2" t="s">
        <v>61</v>
      </c>
      <c r="D4" s="2" t="s">
        <v>73</v>
      </c>
      <c r="E4" s="2" t="s">
        <v>75</v>
      </c>
      <c r="F4" s="2" t="s">
        <v>77</v>
      </c>
      <c r="G4" s="2">
        <v>2025</v>
      </c>
      <c r="H4" s="3">
        <v>285531</v>
      </c>
      <c r="I4" s="3">
        <v>13201268.530328248</v>
      </c>
      <c r="J4" s="4">
        <f>Table13[[#This Row],[Unique Visitors]]/Table13[[#This Row],[Sales]]</f>
        <v>46.234099030677044</v>
      </c>
      <c r="K4" s="5">
        <f>Table13[[#This Row],[Sales]]/Table13[[#This Row],[Unique Visitors]]</f>
        <v>2.1629057794258829E-2</v>
      </c>
      <c r="L4"/>
    </row>
    <row r="5" spans="1:16" x14ac:dyDescent="0.2">
      <c r="A5" s="2" t="s">
        <v>61</v>
      </c>
      <c r="B5" s="2" t="s">
        <v>48</v>
      </c>
      <c r="C5" s="2" t="s">
        <v>61</v>
      </c>
      <c r="D5" s="2" t="s">
        <v>73</v>
      </c>
      <c r="E5" s="2" t="s">
        <v>75</v>
      </c>
      <c r="F5" s="2" t="s">
        <v>77</v>
      </c>
      <c r="G5" s="2">
        <v>2024</v>
      </c>
      <c r="H5" s="3">
        <v>277297</v>
      </c>
      <c r="I5" s="3">
        <v>11892017.729132103</v>
      </c>
      <c r="J5" s="4">
        <f>Table13[[#This Row],[Unique Visitors]]/Table13[[#This Row],[Sales]]</f>
        <v>42.885490031021263</v>
      </c>
      <c r="K5" s="5">
        <f>Table13[[#This Row],[Sales]]/Table13[[#This Row],[Unique Visitors]]</f>
        <v>2.3317910073468881E-2</v>
      </c>
      <c r="L5"/>
    </row>
    <row r="6" spans="1:16" x14ac:dyDescent="0.2">
      <c r="A6" s="2" t="s">
        <v>63</v>
      </c>
      <c r="B6" s="2" t="s">
        <v>40</v>
      </c>
      <c r="C6" s="2" t="s">
        <v>63</v>
      </c>
      <c r="D6" s="2" t="s">
        <v>72</v>
      </c>
      <c r="E6" s="2" t="s">
        <v>75</v>
      </c>
      <c r="F6" s="2" t="s">
        <v>77</v>
      </c>
      <c r="G6" s="2">
        <v>2025</v>
      </c>
      <c r="H6" s="3">
        <v>260415</v>
      </c>
      <c r="I6" s="3">
        <v>15952616.749640811</v>
      </c>
      <c r="J6" s="4">
        <f>Table13[[#This Row],[Unique Visitors]]/Table13[[#This Row],[Sales]]</f>
        <v>61.2584403726391</v>
      </c>
      <c r="K6" s="5">
        <f>Table13[[#This Row],[Sales]]/Table13[[#This Row],[Unique Visitors]]</f>
        <v>1.6324281093624562E-2</v>
      </c>
      <c r="L6"/>
    </row>
    <row r="7" spans="1:16" x14ac:dyDescent="0.2">
      <c r="A7" s="2" t="s">
        <v>63</v>
      </c>
      <c r="B7" s="2" t="s">
        <v>40</v>
      </c>
      <c r="C7" s="2" t="s">
        <v>63</v>
      </c>
      <c r="D7" s="2" t="s">
        <v>72</v>
      </c>
      <c r="E7" s="2" t="s">
        <v>75</v>
      </c>
      <c r="F7" s="2" t="s">
        <v>77</v>
      </c>
      <c r="G7" s="2">
        <v>2024</v>
      </c>
      <c r="H7" s="3">
        <v>257888</v>
      </c>
      <c r="I7" s="3">
        <v>13758987.960342629</v>
      </c>
      <c r="J7" s="4">
        <f>Table13[[#This Row],[Unique Visitors]]/Table13[[#This Row],[Sales]]</f>
        <v>53.352571505237272</v>
      </c>
      <c r="K7" s="5">
        <f>Table13[[#This Row],[Sales]]/Table13[[#This Row],[Unique Visitors]]</f>
        <v>1.8743239018982179E-2</v>
      </c>
      <c r="L7"/>
    </row>
    <row r="8" spans="1:16" x14ac:dyDescent="0.2">
      <c r="A8" s="2" t="s">
        <v>63</v>
      </c>
      <c r="B8" s="2" t="s">
        <v>15</v>
      </c>
      <c r="C8" s="2" t="s">
        <v>63</v>
      </c>
      <c r="D8" s="2" t="s">
        <v>72</v>
      </c>
      <c r="E8" s="2" t="s">
        <v>75</v>
      </c>
      <c r="F8" s="2" t="s">
        <v>77</v>
      </c>
      <c r="G8" s="2">
        <v>2025</v>
      </c>
      <c r="H8" s="3">
        <v>253712</v>
      </c>
      <c r="I8" s="3">
        <v>12114318.371017093</v>
      </c>
      <c r="J8" s="4">
        <f>Table13[[#This Row],[Unique Visitors]]/Table13[[#This Row],[Sales]]</f>
        <v>47.748306627266714</v>
      </c>
      <c r="K8" s="5">
        <f>Table13[[#This Row],[Sales]]/Table13[[#This Row],[Unique Visitors]]</f>
        <v>2.0943151090282833E-2</v>
      </c>
      <c r="L8"/>
    </row>
    <row r="9" spans="1:16" x14ac:dyDescent="0.2">
      <c r="A9" s="2" t="s">
        <v>63</v>
      </c>
      <c r="B9" s="2" t="s">
        <v>50</v>
      </c>
      <c r="C9" s="2" t="s">
        <v>71</v>
      </c>
      <c r="D9" s="2" t="s">
        <v>73</v>
      </c>
      <c r="E9" s="2" t="s">
        <v>75</v>
      </c>
      <c r="F9" s="2" t="s">
        <v>77</v>
      </c>
      <c r="G9" s="2">
        <v>2025</v>
      </c>
      <c r="H9" s="3">
        <v>246593</v>
      </c>
      <c r="I9" s="3">
        <v>6735147.9834297355</v>
      </c>
      <c r="J9" s="4">
        <f>Table13[[#This Row],[Unique Visitors]]/Table13[[#This Row],[Sales]]</f>
        <v>27.312810920949644</v>
      </c>
      <c r="K9" s="5">
        <f>Table13[[#This Row],[Sales]]/Table13[[#This Row],[Unique Visitors]]</f>
        <v>3.6612855516565443E-2</v>
      </c>
      <c r="L9"/>
    </row>
    <row r="10" spans="1:16" x14ac:dyDescent="0.2">
      <c r="A10" s="2" t="s">
        <v>63</v>
      </c>
      <c r="B10" s="2" t="s">
        <v>15</v>
      </c>
      <c r="C10" s="2" t="s">
        <v>63</v>
      </c>
      <c r="D10" s="2" t="s">
        <v>72</v>
      </c>
      <c r="E10" s="2" t="s">
        <v>75</v>
      </c>
      <c r="F10" s="2" t="s">
        <v>77</v>
      </c>
      <c r="G10" s="2">
        <v>2024</v>
      </c>
      <c r="H10" s="3">
        <v>232886</v>
      </c>
      <c r="I10" s="3">
        <v>11487794.39752556</v>
      </c>
      <c r="J10" s="4">
        <f>Table13[[#This Row],[Unique Visitors]]/Table13[[#This Row],[Sales]]</f>
        <v>49.327973332555672</v>
      </c>
      <c r="K10" s="5">
        <f>Table13[[#This Row],[Sales]]/Table13[[#This Row],[Unique Visitors]]</f>
        <v>2.0272472847369466E-2</v>
      </c>
      <c r="L10"/>
    </row>
    <row r="11" spans="1:16" x14ac:dyDescent="0.2">
      <c r="A11" s="2" t="s">
        <v>61</v>
      </c>
      <c r="B11" s="2" t="s">
        <v>45</v>
      </c>
      <c r="C11" s="2" t="s">
        <v>61</v>
      </c>
      <c r="D11" s="2" t="s">
        <v>73</v>
      </c>
      <c r="E11" s="2" t="s">
        <v>75</v>
      </c>
      <c r="F11" s="2" t="s">
        <v>77</v>
      </c>
      <c r="G11" s="2">
        <v>2024</v>
      </c>
      <c r="H11" s="3">
        <v>232713</v>
      </c>
      <c r="I11" s="3">
        <v>8862086.8347460777</v>
      </c>
      <c r="J11" s="4">
        <f>Table13[[#This Row],[Unique Visitors]]/Table13[[#This Row],[Sales]]</f>
        <v>38.08161484208479</v>
      </c>
      <c r="K11" s="5">
        <f>Table13[[#This Row],[Sales]]/Table13[[#This Row],[Unique Visitors]]</f>
        <v>2.6259390631063237E-2</v>
      </c>
      <c r="L11"/>
      <c r="P11" s="6"/>
    </row>
    <row r="12" spans="1:16" x14ac:dyDescent="0.2">
      <c r="A12" s="2" t="s">
        <v>63</v>
      </c>
      <c r="B12" s="2" t="s">
        <v>50</v>
      </c>
      <c r="C12" s="2" t="s">
        <v>71</v>
      </c>
      <c r="D12" s="2" t="s">
        <v>73</v>
      </c>
      <c r="E12" s="2" t="s">
        <v>75</v>
      </c>
      <c r="F12" s="2" t="s">
        <v>77</v>
      </c>
      <c r="G12" s="2">
        <v>2024</v>
      </c>
      <c r="H12" s="3">
        <v>228593</v>
      </c>
      <c r="I12" s="3">
        <v>5809007.7780112894</v>
      </c>
      <c r="J12" s="4">
        <f>Table13[[#This Row],[Unique Visitors]]/Table13[[#This Row],[Sales]]</f>
        <v>25.412010770282947</v>
      </c>
      <c r="K12" s="5">
        <f>Table13[[#This Row],[Sales]]/Table13[[#This Row],[Unique Visitors]]</f>
        <v>3.9351470808024758E-2</v>
      </c>
      <c r="L12"/>
      <c r="P12" s="6"/>
    </row>
    <row r="13" spans="1:16" x14ac:dyDescent="0.2">
      <c r="A13" s="2" t="s">
        <v>61</v>
      </c>
      <c r="B13" s="2" t="s">
        <v>45</v>
      </c>
      <c r="C13" s="2" t="s">
        <v>61</v>
      </c>
      <c r="D13" s="2" t="s">
        <v>73</v>
      </c>
      <c r="E13" s="2" t="s">
        <v>75</v>
      </c>
      <c r="F13" s="2" t="s">
        <v>77</v>
      </c>
      <c r="G13" s="2">
        <v>2025</v>
      </c>
      <c r="H13" s="3">
        <v>221001</v>
      </c>
      <c r="I13" s="3">
        <v>9500551.8101756349</v>
      </c>
      <c r="J13" s="4">
        <f>Table13[[#This Row],[Unique Visitors]]/Table13[[#This Row],[Sales]]</f>
        <v>42.988727698859442</v>
      </c>
      <c r="K13" s="5">
        <f>Table13[[#This Row],[Sales]]/Table13[[#This Row],[Unique Visitors]]</f>
        <v>2.3261911983185574E-2</v>
      </c>
      <c r="L13"/>
      <c r="P13" s="6"/>
    </row>
    <row r="14" spans="1:16" x14ac:dyDescent="0.2">
      <c r="A14" s="2" t="s">
        <v>63</v>
      </c>
      <c r="B14" s="2" t="s">
        <v>14</v>
      </c>
      <c r="C14" s="2" t="s">
        <v>63</v>
      </c>
      <c r="D14" s="2" t="s">
        <v>72</v>
      </c>
      <c r="E14" s="2" t="s">
        <v>75</v>
      </c>
      <c r="F14" s="2" t="s">
        <v>77</v>
      </c>
      <c r="G14" s="2">
        <v>2025</v>
      </c>
      <c r="H14" s="3">
        <v>205862</v>
      </c>
      <c r="I14" s="3">
        <v>9933680.5770707112</v>
      </c>
      <c r="J14" s="4">
        <f>Table13[[#This Row],[Unique Visitors]]/Table13[[#This Row],[Sales]]</f>
        <v>48.254075920134419</v>
      </c>
      <c r="K14" s="5">
        <f>Table13[[#This Row],[Sales]]/Table13[[#This Row],[Unique Visitors]]</f>
        <v>2.0723637971124045E-2</v>
      </c>
      <c r="L14"/>
    </row>
    <row r="15" spans="1:16" x14ac:dyDescent="0.2">
      <c r="A15" s="2" t="s">
        <v>63</v>
      </c>
      <c r="B15" s="2" t="s">
        <v>14</v>
      </c>
      <c r="C15" s="2" t="s">
        <v>63</v>
      </c>
      <c r="D15" s="2" t="s">
        <v>72</v>
      </c>
      <c r="E15" s="2" t="s">
        <v>75</v>
      </c>
      <c r="F15" s="2" t="s">
        <v>77</v>
      </c>
      <c r="G15" s="2">
        <v>2024</v>
      </c>
      <c r="H15" s="3">
        <v>202317</v>
      </c>
      <c r="I15" s="3">
        <v>9498739.2870353833</v>
      </c>
      <c r="J15" s="4">
        <f>Table13[[#This Row],[Unique Visitors]]/Table13[[#This Row],[Sales]]</f>
        <v>46.949783196841508</v>
      </c>
      <c r="K15" s="5">
        <f>Table13[[#This Row],[Sales]]/Table13[[#This Row],[Unique Visitors]]</f>
        <v>2.1299352881085802E-2</v>
      </c>
      <c r="L15"/>
      <c r="O15" s="7"/>
    </row>
    <row r="16" spans="1:16" x14ac:dyDescent="0.2">
      <c r="A16" s="2" t="s">
        <v>11</v>
      </c>
      <c r="B16" s="2" t="s">
        <v>58</v>
      </c>
      <c r="C16" s="2" t="s">
        <v>63</v>
      </c>
      <c r="D16" s="2" t="s">
        <v>73</v>
      </c>
      <c r="E16" s="2" t="s">
        <v>75</v>
      </c>
      <c r="F16" s="2" t="s">
        <v>77</v>
      </c>
      <c r="G16" s="2">
        <v>2025</v>
      </c>
      <c r="H16" s="3">
        <v>167011</v>
      </c>
      <c r="I16" s="3">
        <v>7223149.6515649352</v>
      </c>
      <c r="J16" s="4">
        <f>Table13[[#This Row],[Unique Visitors]]/Table13[[#This Row],[Sales]]</f>
        <v>43.249544350760942</v>
      </c>
      <c r="K16" s="5">
        <f>Table13[[#This Row],[Sales]]/Table13[[#This Row],[Unique Visitors]]</f>
        <v>2.3121630875225761E-2</v>
      </c>
      <c r="L16"/>
    </row>
    <row r="17" spans="1:12" x14ac:dyDescent="0.2">
      <c r="A17" s="2" t="s">
        <v>11</v>
      </c>
      <c r="B17" s="2" t="s">
        <v>58</v>
      </c>
      <c r="C17" s="2" t="s">
        <v>63</v>
      </c>
      <c r="D17" s="2" t="s">
        <v>73</v>
      </c>
      <c r="E17" s="2" t="s">
        <v>75</v>
      </c>
      <c r="F17" s="2" t="s">
        <v>77</v>
      </c>
      <c r="G17" s="2">
        <v>2024</v>
      </c>
      <c r="H17" s="3">
        <v>166304</v>
      </c>
      <c r="I17" s="3">
        <v>7487764.1741587119</v>
      </c>
      <c r="J17" s="4">
        <f>Table13[[#This Row],[Unique Visitors]]/Table13[[#This Row],[Sales]]</f>
        <v>45.024558484213919</v>
      </c>
      <c r="K17" s="5">
        <f>Table13[[#This Row],[Sales]]/Table13[[#This Row],[Unique Visitors]]</f>
        <v>2.2210101190678202E-2</v>
      </c>
      <c r="L17"/>
    </row>
    <row r="18" spans="1:12" x14ac:dyDescent="0.2">
      <c r="A18" s="2" t="s">
        <v>63</v>
      </c>
      <c r="B18" s="2" t="s">
        <v>18</v>
      </c>
      <c r="C18" s="2" t="s">
        <v>65</v>
      </c>
      <c r="D18" s="2" t="s">
        <v>73</v>
      </c>
      <c r="E18" s="2" t="s">
        <v>75</v>
      </c>
      <c r="F18" s="2" t="s">
        <v>77</v>
      </c>
      <c r="G18" s="2">
        <v>2025</v>
      </c>
      <c r="H18" s="3">
        <v>156200</v>
      </c>
      <c r="I18" s="3">
        <v>5294000</v>
      </c>
      <c r="J18" s="4">
        <f>Table13[[#This Row],[Unique Visitors]]/Table13[[#This Row],[Sales]]</f>
        <v>33.892445582586426</v>
      </c>
      <c r="K18" s="5">
        <f>Table13[[#This Row],[Sales]]/Table13[[#This Row],[Unique Visitors]]</f>
        <v>2.9505100113335851E-2</v>
      </c>
      <c r="L18"/>
    </row>
    <row r="19" spans="1:12" x14ac:dyDescent="0.2">
      <c r="A19" s="2" t="s">
        <v>63</v>
      </c>
      <c r="B19" s="2" t="s">
        <v>80</v>
      </c>
      <c r="C19" s="2" t="s">
        <v>62</v>
      </c>
      <c r="D19" s="2" t="s">
        <v>73</v>
      </c>
      <c r="E19" s="2" t="s">
        <v>75</v>
      </c>
      <c r="F19" s="2" t="s">
        <v>77</v>
      </c>
      <c r="G19" s="2">
        <v>2024</v>
      </c>
      <c r="H19" s="3">
        <v>147833</v>
      </c>
      <c r="I19" s="2">
        <v>6804000</v>
      </c>
      <c r="J19" s="4">
        <f>Table13[[#This Row],[Unique Visitors]]/Table13[[#This Row],[Sales]]</f>
        <v>46.024906482314506</v>
      </c>
      <c r="K19" s="5">
        <f>Table13[[#This Row],[Sales]]/Table13[[#This Row],[Unique Visitors]]</f>
        <v>2.1727366255144032E-2</v>
      </c>
      <c r="L19"/>
    </row>
    <row r="20" spans="1:12" x14ac:dyDescent="0.2">
      <c r="A20" s="2" t="s">
        <v>61</v>
      </c>
      <c r="B20" s="2" t="s">
        <v>19</v>
      </c>
      <c r="C20" s="2" t="s">
        <v>66</v>
      </c>
      <c r="D20" s="2" t="s">
        <v>73</v>
      </c>
      <c r="E20" s="2" t="s">
        <v>75</v>
      </c>
      <c r="F20" s="2" t="s">
        <v>77</v>
      </c>
      <c r="G20" s="2">
        <v>2024</v>
      </c>
      <c r="H20" s="3">
        <v>144979</v>
      </c>
      <c r="I20" s="3">
        <v>7501007.9062134009</v>
      </c>
      <c r="J20" s="4">
        <f>Table13[[#This Row],[Unique Visitors]]/Table13[[#This Row],[Sales]]</f>
        <v>51.73858218233952</v>
      </c>
      <c r="K20" s="5">
        <f>Table13[[#This Row],[Sales]]/Table13[[#This Row],[Unique Visitors]]</f>
        <v>1.932793590044183E-2</v>
      </c>
      <c r="L20"/>
    </row>
    <row r="21" spans="1:12" x14ac:dyDescent="0.2">
      <c r="A21" s="2" t="s">
        <v>63</v>
      </c>
      <c r="B21" s="2" t="s">
        <v>18</v>
      </c>
      <c r="C21" s="2" t="s">
        <v>65</v>
      </c>
      <c r="D21" s="2" t="s">
        <v>73</v>
      </c>
      <c r="E21" s="2" t="s">
        <v>75</v>
      </c>
      <c r="F21" s="2" t="s">
        <v>77</v>
      </c>
      <c r="G21" s="2">
        <v>2024</v>
      </c>
      <c r="H21" s="3">
        <v>144400</v>
      </c>
      <c r="I21" s="3">
        <v>5089000</v>
      </c>
      <c r="J21" s="4">
        <f>Table13[[#This Row],[Unique Visitors]]/Table13[[#This Row],[Sales]]</f>
        <v>35.242382271468145</v>
      </c>
      <c r="K21" s="5">
        <f>Table13[[#This Row],[Sales]]/Table13[[#This Row],[Unique Visitors]]</f>
        <v>2.8374926311652584E-2</v>
      </c>
      <c r="L21"/>
    </row>
    <row r="22" spans="1:12" x14ac:dyDescent="0.2">
      <c r="A22" s="2" t="s">
        <v>60</v>
      </c>
      <c r="B22" s="2" t="s">
        <v>22</v>
      </c>
      <c r="C22" s="2" t="s">
        <v>60</v>
      </c>
      <c r="D22" s="2" t="s">
        <v>73</v>
      </c>
      <c r="E22" s="2" t="s">
        <v>75</v>
      </c>
      <c r="F22" s="2" t="s">
        <v>77</v>
      </c>
      <c r="G22" s="2">
        <v>2024</v>
      </c>
      <c r="H22" s="3">
        <v>143868</v>
      </c>
      <c r="I22" s="3">
        <v>5024815.3365178891</v>
      </c>
      <c r="J22" s="4">
        <f>Table13[[#This Row],[Unique Visitors]]/Table13[[#This Row],[Sales]]</f>
        <v>34.926566967761346</v>
      </c>
      <c r="K22" s="5">
        <f>Table13[[#This Row],[Sales]]/Table13[[#This Row],[Unique Visitors]]</f>
        <v>2.8631499938801343E-2</v>
      </c>
      <c r="L22"/>
    </row>
    <row r="23" spans="1:12" x14ac:dyDescent="0.2">
      <c r="A23" s="2" t="s">
        <v>60</v>
      </c>
      <c r="B23" s="2" t="s">
        <v>22</v>
      </c>
      <c r="C23" s="2" t="s">
        <v>60</v>
      </c>
      <c r="D23" s="2" t="s">
        <v>73</v>
      </c>
      <c r="E23" s="2" t="s">
        <v>75</v>
      </c>
      <c r="F23" s="2" t="s">
        <v>77</v>
      </c>
      <c r="G23" s="2">
        <v>2025</v>
      </c>
      <c r="H23" s="3">
        <v>143806</v>
      </c>
      <c r="I23" s="3">
        <v>6372864.2424237272</v>
      </c>
      <c r="J23" s="4">
        <f>Table13[[#This Row],[Unique Visitors]]/Table13[[#This Row],[Sales]]</f>
        <v>44.315704785778948</v>
      </c>
      <c r="K23" s="5">
        <f>Table13[[#This Row],[Sales]]/Table13[[#This Row],[Unique Visitors]]</f>
        <v>2.2565363787713091E-2</v>
      </c>
      <c r="L23"/>
    </row>
    <row r="24" spans="1:12" x14ac:dyDescent="0.2">
      <c r="A24" s="2" t="s">
        <v>61</v>
      </c>
      <c r="B24" s="2" t="s">
        <v>19</v>
      </c>
      <c r="C24" s="2" t="s">
        <v>66</v>
      </c>
      <c r="D24" s="2" t="s">
        <v>73</v>
      </c>
      <c r="E24" s="2" t="s">
        <v>75</v>
      </c>
      <c r="F24" s="2" t="s">
        <v>77</v>
      </c>
      <c r="G24" s="2">
        <v>2025</v>
      </c>
      <c r="H24" s="3">
        <v>139305</v>
      </c>
      <c r="I24" s="3">
        <v>8769111.5670195986</v>
      </c>
      <c r="J24" s="4">
        <f>Table13[[#This Row],[Unique Visitors]]/Table13[[#This Row],[Sales]]</f>
        <v>62.9490080544101</v>
      </c>
      <c r="K24" s="5">
        <f>Table13[[#This Row],[Sales]]/Table13[[#This Row],[Unique Visitors]]</f>
        <v>1.5885873835146825E-2</v>
      </c>
      <c r="L24"/>
    </row>
    <row r="25" spans="1:12" x14ac:dyDescent="0.2">
      <c r="A25" s="2" t="s">
        <v>63</v>
      </c>
      <c r="B25" s="2" t="s">
        <v>80</v>
      </c>
      <c r="C25" s="2" t="s">
        <v>62</v>
      </c>
      <c r="D25" s="2" t="s">
        <v>73</v>
      </c>
      <c r="E25" s="2" t="s">
        <v>75</v>
      </c>
      <c r="F25" s="2" t="s">
        <v>77</v>
      </c>
      <c r="G25" s="2">
        <v>2025</v>
      </c>
      <c r="H25" s="3">
        <v>136189</v>
      </c>
      <c r="I25" s="2">
        <v>7432000</v>
      </c>
      <c r="J25" s="4">
        <f>Table13[[#This Row],[Unique Visitors]]/Table13[[#This Row],[Sales]]</f>
        <v>54.571220876869646</v>
      </c>
      <c r="K25" s="5">
        <f>Table13[[#This Row],[Sales]]/Table13[[#This Row],[Unique Visitors]]</f>
        <v>1.8324677072120561E-2</v>
      </c>
      <c r="L25"/>
    </row>
    <row r="26" spans="1:12" x14ac:dyDescent="0.2">
      <c r="A26" s="2" t="s">
        <v>61</v>
      </c>
      <c r="B26" s="2" t="s">
        <v>55</v>
      </c>
      <c r="C26" s="2" t="s">
        <v>69</v>
      </c>
      <c r="D26" s="2" t="s">
        <v>73</v>
      </c>
      <c r="E26" s="2" t="s">
        <v>75</v>
      </c>
      <c r="F26" s="2" t="s">
        <v>77</v>
      </c>
      <c r="G26" s="2">
        <v>2024</v>
      </c>
      <c r="H26" s="3">
        <v>127519</v>
      </c>
      <c r="I26" s="3">
        <v>8764905.3535298761</v>
      </c>
      <c r="J26" s="4">
        <f>Table13[[#This Row],[Unique Visitors]]/Table13[[#This Row],[Sales]]</f>
        <v>68.73411298339758</v>
      </c>
      <c r="K26" s="5">
        <f>Table13[[#This Row],[Sales]]/Table13[[#This Row],[Unique Visitors]]</f>
        <v>1.454881654239934E-2</v>
      </c>
      <c r="L26"/>
    </row>
    <row r="27" spans="1:12" x14ac:dyDescent="0.2">
      <c r="A27" s="2" t="s">
        <v>11</v>
      </c>
      <c r="B27" s="2" t="s">
        <v>15</v>
      </c>
      <c r="C27" s="2" t="s">
        <v>63</v>
      </c>
      <c r="D27" s="2" t="s">
        <v>72</v>
      </c>
      <c r="E27" s="2" t="s">
        <v>75</v>
      </c>
      <c r="F27" s="2" t="s">
        <v>77</v>
      </c>
      <c r="G27" s="2">
        <v>2024</v>
      </c>
      <c r="H27" s="3">
        <v>125265</v>
      </c>
      <c r="I27" s="3">
        <v>8956300.9671370499</v>
      </c>
      <c r="J27" s="4">
        <f>Table13[[#This Row],[Unique Visitors]]/Table13[[#This Row],[Sales]]</f>
        <v>71.498830217036286</v>
      </c>
      <c r="K27" s="5">
        <f>Table13[[#This Row],[Sales]]/Table13[[#This Row],[Unique Visitors]]</f>
        <v>1.3986242809350556E-2</v>
      </c>
      <c r="L27"/>
    </row>
    <row r="28" spans="1:12" x14ac:dyDescent="0.2">
      <c r="A28" s="2" t="s">
        <v>60</v>
      </c>
      <c r="B28" s="2" t="s">
        <v>55</v>
      </c>
      <c r="C28" s="2" t="s">
        <v>69</v>
      </c>
      <c r="D28" s="2" t="s">
        <v>73</v>
      </c>
      <c r="E28" s="2" t="s">
        <v>75</v>
      </c>
      <c r="F28" s="2" t="s">
        <v>77</v>
      </c>
      <c r="G28" s="2">
        <v>2024</v>
      </c>
      <c r="H28" s="3">
        <v>122944</v>
      </c>
      <c r="I28" s="3">
        <v>9235131.8053822014</v>
      </c>
      <c r="J28" s="4">
        <f>Table13[[#This Row],[Unique Visitors]]/Table13[[#This Row],[Sales]]</f>
        <v>75.11657181629198</v>
      </c>
      <c r="K28" s="5">
        <f>Table13[[#This Row],[Sales]]/Table13[[#This Row],[Unique Visitors]]</f>
        <v>1.3312641615829315E-2</v>
      </c>
      <c r="L28"/>
    </row>
    <row r="29" spans="1:12" x14ac:dyDescent="0.2">
      <c r="A29" s="2" t="s">
        <v>11</v>
      </c>
      <c r="B29" s="2" t="s">
        <v>14</v>
      </c>
      <c r="C29" s="2" t="s">
        <v>63</v>
      </c>
      <c r="D29" s="2" t="s">
        <v>72</v>
      </c>
      <c r="E29" s="2" t="s">
        <v>75</v>
      </c>
      <c r="F29" s="2" t="s">
        <v>77</v>
      </c>
      <c r="G29" s="2">
        <v>2024</v>
      </c>
      <c r="H29" s="3">
        <v>122431</v>
      </c>
      <c r="I29" s="3">
        <v>7151174.0250353795</v>
      </c>
      <c r="J29" s="4">
        <f>Table13[[#This Row],[Unique Visitors]]/Table13[[#This Row],[Sales]]</f>
        <v>58.409831047981143</v>
      </c>
      <c r="K29" s="5">
        <f>Table13[[#This Row],[Sales]]/Table13[[#This Row],[Unique Visitors]]</f>
        <v>1.7120405624500838E-2</v>
      </c>
      <c r="L29"/>
    </row>
    <row r="30" spans="1:12" x14ac:dyDescent="0.2">
      <c r="A30" s="2" t="s">
        <v>60</v>
      </c>
      <c r="B30" s="2" t="s">
        <v>58</v>
      </c>
      <c r="C30" s="2" t="s">
        <v>63</v>
      </c>
      <c r="D30" s="2" t="s">
        <v>73</v>
      </c>
      <c r="E30" s="2" t="s">
        <v>75</v>
      </c>
      <c r="F30" s="2" t="s">
        <v>77</v>
      </c>
      <c r="G30" s="2">
        <v>2024</v>
      </c>
      <c r="H30" s="3">
        <v>121290</v>
      </c>
      <c r="I30" s="3">
        <v>8164297.5665919026</v>
      </c>
      <c r="J30" s="4">
        <f>Table13[[#This Row],[Unique Visitors]]/Table13[[#This Row],[Sales]]</f>
        <v>67.312206831493967</v>
      </c>
      <c r="K30" s="5">
        <f>Table13[[#This Row],[Sales]]/Table13[[#This Row],[Unique Visitors]]</f>
        <v>1.485614641194799E-2</v>
      </c>
      <c r="L30"/>
    </row>
    <row r="31" spans="1:12" x14ac:dyDescent="0.2">
      <c r="A31" s="2" t="s">
        <v>60</v>
      </c>
      <c r="B31" s="2" t="s">
        <v>55</v>
      </c>
      <c r="C31" s="2" t="s">
        <v>69</v>
      </c>
      <c r="D31" s="2" t="s">
        <v>73</v>
      </c>
      <c r="E31" s="2" t="s">
        <v>75</v>
      </c>
      <c r="F31" s="2" t="s">
        <v>77</v>
      </c>
      <c r="G31" s="2">
        <v>2025</v>
      </c>
      <c r="H31" s="3">
        <v>120745</v>
      </c>
      <c r="I31" s="3">
        <v>10586960.044276308</v>
      </c>
      <c r="J31" s="4">
        <f>Table13[[#This Row],[Unique Visitors]]/Table13[[#This Row],[Sales]]</f>
        <v>87.680318392283809</v>
      </c>
      <c r="K31" s="5">
        <f>Table13[[#This Row],[Sales]]/Table13[[#This Row],[Unique Visitors]]</f>
        <v>1.1405068073840431E-2</v>
      </c>
      <c r="L31"/>
    </row>
    <row r="32" spans="1:12" x14ac:dyDescent="0.2">
      <c r="A32" s="2" t="s">
        <v>61</v>
      </c>
      <c r="B32" s="2" t="s">
        <v>58</v>
      </c>
      <c r="C32" s="2" t="s">
        <v>63</v>
      </c>
      <c r="D32" s="2" t="s">
        <v>73</v>
      </c>
      <c r="E32" s="2" t="s">
        <v>75</v>
      </c>
      <c r="F32" s="2" t="s">
        <v>77</v>
      </c>
      <c r="G32" s="2">
        <v>2024</v>
      </c>
      <c r="H32" s="3">
        <v>119360</v>
      </c>
      <c r="I32" s="3">
        <v>6479997.7949607605</v>
      </c>
      <c r="J32" s="4">
        <f>Table13[[#This Row],[Unique Visitors]]/Table13[[#This Row],[Sales]]</f>
        <v>54.289525762070717</v>
      </c>
      <c r="K32" s="5">
        <f>Table13[[#This Row],[Sales]]/Table13[[#This Row],[Unique Visitors]]</f>
        <v>1.8419759354366076E-2</v>
      </c>
      <c r="L32"/>
    </row>
    <row r="33" spans="1:12" x14ac:dyDescent="0.2">
      <c r="A33" s="2" t="s">
        <v>61</v>
      </c>
      <c r="B33" s="2" t="s">
        <v>17</v>
      </c>
      <c r="C33" s="2" t="s">
        <v>61</v>
      </c>
      <c r="D33" s="2" t="s">
        <v>73</v>
      </c>
      <c r="E33" s="2" t="s">
        <v>75</v>
      </c>
      <c r="F33" s="2" t="s">
        <v>77</v>
      </c>
      <c r="G33" s="2">
        <v>2025</v>
      </c>
      <c r="H33" s="3">
        <v>115576</v>
      </c>
      <c r="I33" s="3">
        <v>7630921.3248284049</v>
      </c>
      <c r="J33" s="4">
        <f>Table13[[#This Row],[Unique Visitors]]/Table13[[#This Row],[Sales]]</f>
        <v>66.025137786637401</v>
      </c>
      <c r="K33" s="5">
        <f>Table13[[#This Row],[Sales]]/Table13[[#This Row],[Unique Visitors]]</f>
        <v>1.5145746506906744E-2</v>
      </c>
      <c r="L33"/>
    </row>
    <row r="34" spans="1:12" x14ac:dyDescent="0.2">
      <c r="A34" s="2" t="s">
        <v>11</v>
      </c>
      <c r="B34" s="2" t="s">
        <v>15</v>
      </c>
      <c r="C34" s="2" t="s">
        <v>63</v>
      </c>
      <c r="D34" s="2" t="s">
        <v>72</v>
      </c>
      <c r="E34" s="2" t="s">
        <v>75</v>
      </c>
      <c r="F34" s="2" t="s">
        <v>77</v>
      </c>
      <c r="G34" s="2">
        <v>2025</v>
      </c>
      <c r="H34" s="3">
        <v>114035</v>
      </c>
      <c r="I34" s="3">
        <v>9587379.1904253531</v>
      </c>
      <c r="J34" s="4">
        <f>Table13[[#This Row],[Unique Visitors]]/Table13[[#This Row],[Sales]]</f>
        <v>84.074005265272532</v>
      </c>
      <c r="K34" s="5">
        <f>Table13[[#This Row],[Sales]]/Table13[[#This Row],[Unique Visitors]]</f>
        <v>1.1894282862399306E-2</v>
      </c>
      <c r="L34"/>
    </row>
    <row r="35" spans="1:12" x14ac:dyDescent="0.2">
      <c r="A35" s="2" t="s">
        <v>11</v>
      </c>
      <c r="B35" s="2" t="s">
        <v>32</v>
      </c>
      <c r="C35" s="2" t="s">
        <v>68</v>
      </c>
      <c r="D35" s="2" t="s">
        <v>73</v>
      </c>
      <c r="E35" s="2" t="s">
        <v>75</v>
      </c>
      <c r="F35" s="2" t="s">
        <v>77</v>
      </c>
      <c r="G35" s="2">
        <v>2024</v>
      </c>
      <c r="H35" s="3">
        <v>112252</v>
      </c>
      <c r="I35" s="3">
        <v>5913856.6517669037</v>
      </c>
      <c r="J35" s="4">
        <f>Table13[[#This Row],[Unique Visitors]]/Table13[[#This Row],[Sales]]</f>
        <v>52.68375308918241</v>
      </c>
      <c r="K35" s="5">
        <f>Table13[[#This Row],[Sales]]/Table13[[#This Row],[Unique Visitors]]</f>
        <v>1.8981183787480219E-2</v>
      </c>
      <c r="L35"/>
    </row>
    <row r="36" spans="1:12" x14ac:dyDescent="0.2">
      <c r="A36" s="2" t="s">
        <v>60</v>
      </c>
      <c r="B36" s="2" t="s">
        <v>58</v>
      </c>
      <c r="C36" s="2" t="s">
        <v>63</v>
      </c>
      <c r="D36" s="2" t="s">
        <v>73</v>
      </c>
      <c r="E36" s="2" t="s">
        <v>75</v>
      </c>
      <c r="F36" s="2" t="s">
        <v>77</v>
      </c>
      <c r="G36" s="2">
        <v>2025</v>
      </c>
      <c r="H36" s="3">
        <v>112072</v>
      </c>
      <c r="I36" s="3">
        <v>8209822.3416739451</v>
      </c>
      <c r="J36" s="4">
        <f>Table13[[#This Row],[Unique Visitors]]/Table13[[#This Row],[Sales]]</f>
        <v>73.254892762455782</v>
      </c>
      <c r="K36" s="5">
        <f>Table13[[#This Row],[Sales]]/Table13[[#This Row],[Unique Visitors]]</f>
        <v>1.3650965311528171E-2</v>
      </c>
      <c r="L36"/>
    </row>
    <row r="37" spans="1:12" x14ac:dyDescent="0.2">
      <c r="A37" s="2" t="s">
        <v>61</v>
      </c>
      <c r="B37" s="2" t="s">
        <v>17</v>
      </c>
      <c r="C37" s="2" t="s">
        <v>61</v>
      </c>
      <c r="D37" s="2" t="s">
        <v>73</v>
      </c>
      <c r="E37" s="2" t="s">
        <v>75</v>
      </c>
      <c r="F37" s="2" t="s">
        <v>77</v>
      </c>
      <c r="G37" s="2">
        <v>2024</v>
      </c>
      <c r="H37" s="3">
        <v>111536</v>
      </c>
      <c r="I37" s="3">
        <v>7105522.1790362038</v>
      </c>
      <c r="J37" s="4">
        <f>Table13[[#This Row],[Unique Visitors]]/Table13[[#This Row],[Sales]]</f>
        <v>63.706087532601167</v>
      </c>
      <c r="K37" s="5">
        <f>Table13[[#This Row],[Sales]]/Table13[[#This Row],[Unique Visitors]]</f>
        <v>1.5697087024662385E-2</v>
      </c>
      <c r="L37"/>
    </row>
    <row r="38" spans="1:12" x14ac:dyDescent="0.2">
      <c r="A38" s="2" t="s">
        <v>61</v>
      </c>
      <c r="B38" s="2" t="s">
        <v>58</v>
      </c>
      <c r="C38" s="2" t="s">
        <v>63</v>
      </c>
      <c r="D38" s="2" t="s">
        <v>73</v>
      </c>
      <c r="E38" s="2" t="s">
        <v>75</v>
      </c>
      <c r="F38" s="2" t="s">
        <v>77</v>
      </c>
      <c r="G38" s="2">
        <v>2025</v>
      </c>
      <c r="H38" s="3">
        <v>110960</v>
      </c>
      <c r="I38" s="3">
        <v>7500208.4791345932</v>
      </c>
      <c r="J38" s="4">
        <f>Table13[[#This Row],[Unique Visitors]]/Table13[[#This Row],[Sales]]</f>
        <v>67.593803885495618</v>
      </c>
      <c r="K38" s="5">
        <f>Table13[[#This Row],[Sales]]/Table13[[#This Row],[Unique Visitors]]</f>
        <v>1.4794255427524203E-2</v>
      </c>
      <c r="L38"/>
    </row>
    <row r="39" spans="1:12" x14ac:dyDescent="0.2">
      <c r="A39" s="2" t="s">
        <v>61</v>
      </c>
      <c r="B39" s="2" t="s">
        <v>55</v>
      </c>
      <c r="C39" s="2" t="s">
        <v>69</v>
      </c>
      <c r="D39" s="2" t="s">
        <v>73</v>
      </c>
      <c r="E39" s="2" t="s">
        <v>75</v>
      </c>
      <c r="F39" s="2" t="s">
        <v>77</v>
      </c>
      <c r="G39" s="2">
        <v>2025</v>
      </c>
      <c r="H39" s="3">
        <v>110071</v>
      </c>
      <c r="I39" s="3">
        <v>9221402.2183958273</v>
      </c>
      <c r="J39" s="4">
        <f>Table13[[#This Row],[Unique Visitors]]/Table13[[#This Row],[Sales]]</f>
        <v>83.776855106211698</v>
      </c>
      <c r="K39" s="5">
        <f>Table13[[#This Row],[Sales]]/Table13[[#This Row],[Unique Visitors]]</f>
        <v>1.1936470982733921E-2</v>
      </c>
      <c r="L39"/>
    </row>
    <row r="40" spans="1:12" x14ac:dyDescent="0.2">
      <c r="A40" s="2" t="s">
        <v>11</v>
      </c>
      <c r="B40" s="2" t="s">
        <v>23</v>
      </c>
      <c r="C40" s="2" t="s">
        <v>67</v>
      </c>
      <c r="D40" s="2" t="s">
        <v>73</v>
      </c>
      <c r="E40" s="2" t="s">
        <v>75</v>
      </c>
      <c r="F40" s="2" t="s">
        <v>77</v>
      </c>
      <c r="G40" s="2">
        <v>2024</v>
      </c>
      <c r="H40" s="3">
        <v>109955</v>
      </c>
      <c r="I40" s="3">
        <v>8966490.9611923993</v>
      </c>
      <c r="J40" s="4">
        <f>Table13[[#This Row],[Unique Visitors]]/Table13[[#This Row],[Sales]]</f>
        <v>81.546914293960256</v>
      </c>
      <c r="K40" s="5">
        <f>Table13[[#This Row],[Sales]]/Table13[[#This Row],[Unique Visitors]]</f>
        <v>1.2262879701311577E-2</v>
      </c>
      <c r="L40"/>
    </row>
    <row r="41" spans="1:12" x14ac:dyDescent="0.2">
      <c r="A41" s="2" t="s">
        <v>11</v>
      </c>
      <c r="B41" s="2" t="s">
        <v>23</v>
      </c>
      <c r="C41" s="2" t="s">
        <v>67</v>
      </c>
      <c r="D41" s="2" t="s">
        <v>73</v>
      </c>
      <c r="E41" s="2" t="s">
        <v>75</v>
      </c>
      <c r="F41" s="2" t="s">
        <v>77</v>
      </c>
      <c r="G41" s="2">
        <v>2025</v>
      </c>
      <c r="H41" s="3">
        <v>109043</v>
      </c>
      <c r="I41" s="3">
        <v>8255069.5178489285</v>
      </c>
      <c r="J41" s="4">
        <f>Table13[[#This Row],[Unique Visitors]]/Table13[[#This Row],[Sales]]</f>
        <v>75.704717568747455</v>
      </c>
      <c r="K41" s="5">
        <f>Table13[[#This Row],[Sales]]/Table13[[#This Row],[Unique Visitors]]</f>
        <v>1.3209216441391516E-2</v>
      </c>
      <c r="L41"/>
    </row>
    <row r="42" spans="1:12" x14ac:dyDescent="0.2">
      <c r="A42" s="2" t="s">
        <v>11</v>
      </c>
      <c r="B42" s="2" t="s">
        <v>32</v>
      </c>
      <c r="C42" s="2" t="s">
        <v>68</v>
      </c>
      <c r="D42" s="2" t="s">
        <v>73</v>
      </c>
      <c r="E42" s="2" t="s">
        <v>75</v>
      </c>
      <c r="F42" s="2" t="s">
        <v>77</v>
      </c>
      <c r="G42" s="2">
        <v>2025</v>
      </c>
      <c r="H42" s="3">
        <v>109042</v>
      </c>
      <c r="I42" s="3">
        <v>6060332.5574383531</v>
      </c>
      <c r="J42" s="4">
        <f>Table13[[#This Row],[Unique Visitors]]/Table13[[#This Row],[Sales]]</f>
        <v>55.577965897895794</v>
      </c>
      <c r="K42" s="5">
        <f>Table13[[#This Row],[Sales]]/Table13[[#This Row],[Unique Visitors]]</f>
        <v>1.7992741976867861E-2</v>
      </c>
      <c r="L42"/>
    </row>
    <row r="43" spans="1:12" x14ac:dyDescent="0.2">
      <c r="A43" s="2" t="s">
        <v>63</v>
      </c>
      <c r="B43" s="2" t="s">
        <v>23</v>
      </c>
      <c r="C43" s="2" t="s">
        <v>67</v>
      </c>
      <c r="D43" s="2" t="s">
        <v>73</v>
      </c>
      <c r="E43" s="2" t="s">
        <v>75</v>
      </c>
      <c r="F43" s="2" t="s">
        <v>77</v>
      </c>
      <c r="G43" s="2">
        <v>2025</v>
      </c>
      <c r="H43" s="3">
        <v>108299</v>
      </c>
      <c r="I43" s="3">
        <v>6493509.7198058311</v>
      </c>
      <c r="J43" s="4">
        <f>Table13[[#This Row],[Unique Visitors]]/Table13[[#This Row],[Sales]]</f>
        <v>59.959092141255518</v>
      </c>
      <c r="K43" s="5">
        <f>Table13[[#This Row],[Sales]]/Table13[[#This Row],[Unique Visitors]]</f>
        <v>1.6678037713515326E-2</v>
      </c>
      <c r="L43"/>
    </row>
    <row r="44" spans="1:12" x14ac:dyDescent="0.2">
      <c r="A44" s="2" t="s">
        <v>11</v>
      </c>
      <c r="B44" s="2" t="s">
        <v>14</v>
      </c>
      <c r="C44" s="2" t="s">
        <v>63</v>
      </c>
      <c r="D44" s="2" t="s">
        <v>72</v>
      </c>
      <c r="E44" s="2" t="s">
        <v>75</v>
      </c>
      <c r="F44" s="2" t="s">
        <v>77</v>
      </c>
      <c r="G44" s="2">
        <v>2025</v>
      </c>
      <c r="H44" s="3">
        <v>102856</v>
      </c>
      <c r="I44" s="3">
        <v>7339493.8397713834</v>
      </c>
      <c r="J44" s="4">
        <f>Table13[[#This Row],[Unique Visitors]]/Table13[[#This Row],[Sales]]</f>
        <v>71.356982964254726</v>
      </c>
      <c r="K44" s="5">
        <f>Table13[[#This Row],[Sales]]/Table13[[#This Row],[Unique Visitors]]</f>
        <v>1.4014045415862608E-2</v>
      </c>
      <c r="L44"/>
    </row>
    <row r="45" spans="1:12" x14ac:dyDescent="0.2">
      <c r="A45" s="2" t="s">
        <v>11</v>
      </c>
      <c r="B45" s="2" t="s">
        <v>40</v>
      </c>
      <c r="C45" s="2" t="s">
        <v>63</v>
      </c>
      <c r="D45" s="2" t="s">
        <v>72</v>
      </c>
      <c r="E45" s="2" t="s">
        <v>75</v>
      </c>
      <c r="F45" s="2" t="s">
        <v>77</v>
      </c>
      <c r="G45" s="2">
        <v>2024</v>
      </c>
      <c r="H45" s="3">
        <v>102757</v>
      </c>
      <c r="I45" s="3">
        <v>7072941.0843558116</v>
      </c>
      <c r="J45" s="4">
        <f>Table13[[#This Row],[Unique Visitors]]/Table13[[#This Row],[Sales]]</f>
        <v>68.831720314487697</v>
      </c>
      <c r="K45" s="5">
        <f>Table13[[#This Row],[Sales]]/Table13[[#This Row],[Unique Visitors]]</f>
        <v>1.4528185485283014E-2</v>
      </c>
      <c r="L45"/>
    </row>
    <row r="46" spans="1:12" x14ac:dyDescent="0.2">
      <c r="A46" s="2" t="s">
        <v>11</v>
      </c>
      <c r="B46" s="2" t="s">
        <v>55</v>
      </c>
      <c r="C46" s="2" t="s">
        <v>69</v>
      </c>
      <c r="D46" s="2" t="s">
        <v>73</v>
      </c>
      <c r="E46" s="2" t="s">
        <v>75</v>
      </c>
      <c r="F46" s="2" t="s">
        <v>77</v>
      </c>
      <c r="G46" s="2">
        <v>2024</v>
      </c>
      <c r="H46" s="3">
        <v>101444</v>
      </c>
      <c r="I46" s="3">
        <v>10273867.15462094</v>
      </c>
      <c r="J46" s="4">
        <f>Table13[[#This Row],[Unique Visitors]]/Table13[[#This Row],[Sales]]</f>
        <v>101.27624260302177</v>
      </c>
      <c r="K46" s="5">
        <f>Table13[[#This Row],[Sales]]/Table13[[#This Row],[Unique Visitors]]</f>
        <v>9.8739840094557683E-3</v>
      </c>
      <c r="L46"/>
    </row>
    <row r="47" spans="1:12" x14ac:dyDescent="0.2">
      <c r="A47" s="2" t="s">
        <v>11</v>
      </c>
      <c r="B47" s="2" t="s">
        <v>43</v>
      </c>
      <c r="C47" s="2" t="s">
        <v>69</v>
      </c>
      <c r="D47" s="2" t="s">
        <v>73</v>
      </c>
      <c r="E47" s="2" t="s">
        <v>75</v>
      </c>
      <c r="F47" s="2" t="s">
        <v>77</v>
      </c>
      <c r="G47" s="2">
        <v>2024</v>
      </c>
      <c r="H47" s="3">
        <v>100446</v>
      </c>
      <c r="I47" s="3">
        <v>5848630.3579530315</v>
      </c>
      <c r="J47" s="4">
        <f>Table13[[#This Row],[Unique Visitors]]/Table13[[#This Row],[Sales]]</f>
        <v>58.226612886058497</v>
      </c>
      <c r="K47" s="5">
        <f>Table13[[#This Row],[Sales]]/Table13[[#This Row],[Unique Visitors]]</f>
        <v>1.7174277369643037E-2</v>
      </c>
      <c r="L47"/>
    </row>
    <row r="48" spans="1:12" x14ac:dyDescent="0.2">
      <c r="A48" s="2" t="s">
        <v>63</v>
      </c>
      <c r="B48" s="2" t="s">
        <v>23</v>
      </c>
      <c r="C48" s="2" t="s">
        <v>67</v>
      </c>
      <c r="D48" s="2" t="s">
        <v>73</v>
      </c>
      <c r="E48" s="2" t="s">
        <v>75</v>
      </c>
      <c r="F48" s="2" t="s">
        <v>77</v>
      </c>
      <c r="G48" s="2">
        <v>2024</v>
      </c>
      <c r="H48" s="3">
        <v>99554</v>
      </c>
      <c r="I48" s="3">
        <v>6524095.6947844373</v>
      </c>
      <c r="J48" s="4">
        <f>Table13[[#This Row],[Unique Visitors]]/Table13[[#This Row],[Sales]]</f>
        <v>65.533235176732603</v>
      </c>
      <c r="K48" s="5">
        <f>Table13[[#This Row],[Sales]]/Table13[[#This Row],[Unique Visitors]]</f>
        <v>1.5259432825239908E-2</v>
      </c>
      <c r="L48"/>
    </row>
    <row r="49" spans="1:12" x14ac:dyDescent="0.2">
      <c r="A49" s="2" t="s">
        <v>60</v>
      </c>
      <c r="B49" s="2" t="s">
        <v>19</v>
      </c>
      <c r="C49" s="2" t="s">
        <v>66</v>
      </c>
      <c r="D49" s="2" t="s">
        <v>73</v>
      </c>
      <c r="E49" s="2" t="s">
        <v>75</v>
      </c>
      <c r="F49" s="2" t="s">
        <v>77</v>
      </c>
      <c r="G49" s="2">
        <v>2024</v>
      </c>
      <c r="H49" s="3">
        <v>97263</v>
      </c>
      <c r="I49" s="3">
        <v>6524245.7628438305</v>
      </c>
      <c r="J49" s="4">
        <f>Table13[[#This Row],[Unique Visitors]]/Table13[[#This Row],[Sales]]</f>
        <v>67.07839325173839</v>
      </c>
      <c r="K49" s="5">
        <f>Table13[[#This Row],[Sales]]/Table13[[#This Row],[Unique Visitors]]</f>
        <v>1.4907930132540619E-2</v>
      </c>
      <c r="L49"/>
    </row>
    <row r="50" spans="1:12" x14ac:dyDescent="0.2">
      <c r="A50" s="2" t="s">
        <v>63</v>
      </c>
      <c r="B50" s="2" t="s">
        <v>27</v>
      </c>
      <c r="C50" s="2" t="s">
        <v>68</v>
      </c>
      <c r="D50" s="2" t="s">
        <v>73</v>
      </c>
      <c r="E50" s="2" t="s">
        <v>75</v>
      </c>
      <c r="F50" s="2" t="s">
        <v>77</v>
      </c>
      <c r="G50" s="2">
        <v>2024</v>
      </c>
      <c r="H50" s="3">
        <v>96365</v>
      </c>
      <c r="I50" s="3">
        <v>8154019.2295979615</v>
      </c>
      <c r="J50" s="4">
        <f>Table13[[#This Row],[Unique Visitors]]/Table13[[#This Row],[Sales]]</f>
        <v>84.615983288517214</v>
      </c>
      <c r="K50" s="5">
        <f>Table13[[#This Row],[Sales]]/Table13[[#This Row],[Unique Visitors]]</f>
        <v>1.1818098202443329E-2</v>
      </c>
      <c r="L50"/>
    </row>
    <row r="51" spans="1:12" x14ac:dyDescent="0.2">
      <c r="A51" s="2" t="s">
        <v>65</v>
      </c>
      <c r="B51" s="2" t="s">
        <v>55</v>
      </c>
      <c r="C51" s="2" t="s">
        <v>69</v>
      </c>
      <c r="D51" s="2" t="s">
        <v>73</v>
      </c>
      <c r="E51" s="2" t="s">
        <v>75</v>
      </c>
      <c r="F51" s="2" t="s">
        <v>77</v>
      </c>
      <c r="G51" s="2">
        <v>2025</v>
      </c>
      <c r="H51" s="3">
        <v>96290</v>
      </c>
      <c r="I51" s="3">
        <v>10692007.645066088</v>
      </c>
      <c r="J51" s="4">
        <f>Table13[[#This Row],[Unique Visitors]]/Table13[[#This Row],[Sales]]</f>
        <v>111.0396473680142</v>
      </c>
      <c r="K51" s="5">
        <f>Table13[[#This Row],[Sales]]/Table13[[#This Row],[Unique Visitors]]</f>
        <v>9.0057922886384936E-3</v>
      </c>
      <c r="L51"/>
    </row>
    <row r="52" spans="1:12" x14ac:dyDescent="0.2">
      <c r="A52" s="2" t="s">
        <v>63</v>
      </c>
      <c r="B52" s="2" t="s">
        <v>49</v>
      </c>
      <c r="C52" s="2" t="s">
        <v>65</v>
      </c>
      <c r="D52" s="2" t="s">
        <v>73</v>
      </c>
      <c r="E52" s="2" t="s">
        <v>75</v>
      </c>
      <c r="F52" s="2" t="s">
        <v>77</v>
      </c>
      <c r="G52" s="2">
        <v>2024</v>
      </c>
      <c r="H52" s="3">
        <v>95997</v>
      </c>
      <c r="I52" s="3">
        <v>2899976.28726424</v>
      </c>
      <c r="J52" s="4">
        <f>Table13[[#This Row],[Unique Visitors]]/Table13[[#This Row],[Sales]]</f>
        <v>30.209030357867849</v>
      </c>
      <c r="K52" s="5">
        <f>Table13[[#This Row],[Sales]]/Table13[[#This Row],[Unique Visitors]]</f>
        <v>3.3102684467313695E-2</v>
      </c>
      <c r="L52"/>
    </row>
    <row r="53" spans="1:12" x14ac:dyDescent="0.2">
      <c r="A53" s="2" t="s">
        <v>65</v>
      </c>
      <c r="B53" s="2" t="s">
        <v>55</v>
      </c>
      <c r="C53" s="2" t="s">
        <v>69</v>
      </c>
      <c r="D53" s="2" t="s">
        <v>73</v>
      </c>
      <c r="E53" s="2" t="s">
        <v>75</v>
      </c>
      <c r="F53" s="2" t="s">
        <v>77</v>
      </c>
      <c r="G53" s="2">
        <v>2024</v>
      </c>
      <c r="H53" s="3">
        <v>95614</v>
      </c>
      <c r="I53" s="3">
        <v>10189352.73289695</v>
      </c>
      <c r="J53" s="4">
        <f>Table13[[#This Row],[Unique Visitors]]/Table13[[#This Row],[Sales]]</f>
        <v>106.56758145142919</v>
      </c>
      <c r="K53" s="5">
        <f>Table13[[#This Row],[Sales]]/Table13[[#This Row],[Unique Visitors]]</f>
        <v>9.3837167587009079E-3</v>
      </c>
      <c r="L53"/>
    </row>
    <row r="54" spans="1:12" x14ac:dyDescent="0.2">
      <c r="A54" s="2" t="s">
        <v>63</v>
      </c>
      <c r="B54" s="2" t="s">
        <v>55</v>
      </c>
      <c r="C54" s="2" t="s">
        <v>69</v>
      </c>
      <c r="D54" s="2" t="s">
        <v>73</v>
      </c>
      <c r="E54" s="2" t="s">
        <v>75</v>
      </c>
      <c r="F54" s="2" t="s">
        <v>77</v>
      </c>
      <c r="G54" s="2">
        <v>2024</v>
      </c>
      <c r="H54" s="3">
        <v>95474</v>
      </c>
      <c r="I54" s="3">
        <v>7465862.3960152213</v>
      </c>
      <c r="J54" s="4">
        <f>Table13[[#This Row],[Unique Visitors]]/Table13[[#This Row],[Sales]]</f>
        <v>78.197859061265063</v>
      </c>
      <c r="K54" s="5">
        <f>Table13[[#This Row],[Sales]]/Table13[[#This Row],[Unique Visitors]]</f>
        <v>1.2788073893641227E-2</v>
      </c>
      <c r="L54"/>
    </row>
    <row r="55" spans="1:12" x14ac:dyDescent="0.2">
      <c r="A55" s="2" t="s">
        <v>60</v>
      </c>
      <c r="B55" s="2" t="s">
        <v>19</v>
      </c>
      <c r="C55" s="2" t="s">
        <v>66</v>
      </c>
      <c r="D55" s="2" t="s">
        <v>73</v>
      </c>
      <c r="E55" s="2" t="s">
        <v>75</v>
      </c>
      <c r="F55" s="2" t="s">
        <v>77</v>
      </c>
      <c r="G55" s="2">
        <v>2025</v>
      </c>
      <c r="H55" s="3">
        <v>95293</v>
      </c>
      <c r="I55" s="3">
        <v>6696891.7071497254</v>
      </c>
      <c r="J55" s="4">
        <f>Table13[[#This Row],[Unique Visitors]]/Table13[[#This Row],[Sales]]</f>
        <v>70.276848322014473</v>
      </c>
      <c r="K55" s="5">
        <f>Table13[[#This Row],[Sales]]/Table13[[#This Row],[Unique Visitors]]</f>
        <v>1.4229437202674703E-2</v>
      </c>
      <c r="L55"/>
    </row>
    <row r="56" spans="1:12" x14ac:dyDescent="0.2">
      <c r="A56" s="2" t="s">
        <v>63</v>
      </c>
      <c r="B56" s="2" t="s">
        <v>27</v>
      </c>
      <c r="C56" s="2" t="s">
        <v>68</v>
      </c>
      <c r="D56" s="2" t="s">
        <v>73</v>
      </c>
      <c r="E56" s="2" t="s">
        <v>75</v>
      </c>
      <c r="F56" s="2" t="s">
        <v>77</v>
      </c>
      <c r="G56" s="2">
        <v>2025</v>
      </c>
      <c r="H56" s="3">
        <v>93839</v>
      </c>
      <c r="I56" s="3">
        <v>8545924.2790372875</v>
      </c>
      <c r="J56" s="4">
        <f>Table13[[#This Row],[Unique Visitors]]/Table13[[#This Row],[Sales]]</f>
        <v>91.07006979014362</v>
      </c>
      <c r="K56" s="5">
        <f>Table13[[#This Row],[Sales]]/Table13[[#This Row],[Unique Visitors]]</f>
        <v>1.098055598622401E-2</v>
      </c>
      <c r="L56"/>
    </row>
    <row r="57" spans="1:12" x14ac:dyDescent="0.2">
      <c r="A57" s="2" t="s">
        <v>11</v>
      </c>
      <c r="B57" s="2" t="s">
        <v>27</v>
      </c>
      <c r="C57" s="2" t="s">
        <v>68</v>
      </c>
      <c r="D57" s="2" t="s">
        <v>73</v>
      </c>
      <c r="E57" s="2" t="s">
        <v>75</v>
      </c>
      <c r="F57" s="2" t="s">
        <v>77</v>
      </c>
      <c r="G57" s="2">
        <v>2024</v>
      </c>
      <c r="H57" s="3">
        <v>91808</v>
      </c>
      <c r="I57" s="3">
        <v>3808890.7425755952</v>
      </c>
      <c r="J57" s="4">
        <f>Table13[[#This Row],[Unique Visitors]]/Table13[[#This Row],[Sales]]</f>
        <v>41.487569085216919</v>
      </c>
      <c r="K57" s="5">
        <f>Table13[[#This Row],[Sales]]/Table13[[#This Row],[Unique Visitors]]</f>
        <v>2.4103605538949871E-2</v>
      </c>
      <c r="L57"/>
    </row>
    <row r="58" spans="1:12" x14ac:dyDescent="0.2">
      <c r="A58" s="2" t="s">
        <v>63</v>
      </c>
      <c r="B58" s="2" t="s">
        <v>55</v>
      </c>
      <c r="C58" s="2" t="s">
        <v>69</v>
      </c>
      <c r="D58" s="2" t="s">
        <v>73</v>
      </c>
      <c r="E58" s="2" t="s">
        <v>75</v>
      </c>
      <c r="F58" s="2" t="s">
        <v>77</v>
      </c>
      <c r="G58" s="2">
        <v>2025</v>
      </c>
      <c r="H58" s="3">
        <v>87578</v>
      </c>
      <c r="I58" s="3">
        <v>8173741.2601448521</v>
      </c>
      <c r="J58" s="4">
        <f>Table13[[#This Row],[Unique Visitors]]/Table13[[#This Row],[Sales]]</f>
        <v>93.330987920994446</v>
      </c>
      <c r="K58" s="5">
        <f>Table13[[#This Row],[Sales]]/Table13[[#This Row],[Unique Visitors]]</f>
        <v>1.0714554964815215E-2</v>
      </c>
      <c r="L58"/>
    </row>
    <row r="59" spans="1:12" x14ac:dyDescent="0.2">
      <c r="A59" s="2" t="s">
        <v>11</v>
      </c>
      <c r="B59" s="2" t="s">
        <v>27</v>
      </c>
      <c r="C59" s="2" t="s">
        <v>68</v>
      </c>
      <c r="D59" s="2" t="s">
        <v>73</v>
      </c>
      <c r="E59" s="2" t="s">
        <v>75</v>
      </c>
      <c r="F59" s="2" t="s">
        <v>77</v>
      </c>
      <c r="G59" s="2">
        <v>2025</v>
      </c>
      <c r="H59" s="3">
        <v>87570</v>
      </c>
      <c r="I59" s="3">
        <v>4019682.3074518321</v>
      </c>
      <c r="J59" s="4">
        <f>Table13[[#This Row],[Unique Visitors]]/Table13[[#This Row],[Sales]]</f>
        <v>45.902504367384175</v>
      </c>
      <c r="K59" s="5">
        <f>Table13[[#This Row],[Sales]]/Table13[[#This Row],[Unique Visitors]]</f>
        <v>2.1785303738471963E-2</v>
      </c>
      <c r="L59"/>
    </row>
    <row r="60" spans="1:12" x14ac:dyDescent="0.2">
      <c r="A60" s="2" t="s">
        <v>60</v>
      </c>
      <c r="B60" s="2" t="s">
        <v>48</v>
      </c>
      <c r="C60" s="2" t="s">
        <v>61</v>
      </c>
      <c r="D60" s="2" t="s">
        <v>73</v>
      </c>
      <c r="E60" s="2" t="s">
        <v>75</v>
      </c>
      <c r="F60" s="2" t="s">
        <v>77</v>
      </c>
      <c r="G60" s="2">
        <v>2024</v>
      </c>
      <c r="H60" s="3">
        <v>87149</v>
      </c>
      <c r="I60" s="3">
        <v>7007256.9067661325</v>
      </c>
      <c r="J60" s="4">
        <f>Table13[[#This Row],[Unique Visitors]]/Table13[[#This Row],[Sales]]</f>
        <v>80.405476904682004</v>
      </c>
      <c r="K60" s="5">
        <f>Table13[[#This Row],[Sales]]/Table13[[#This Row],[Unique Visitors]]</f>
        <v>1.2436963730536247E-2</v>
      </c>
      <c r="L60"/>
    </row>
    <row r="61" spans="1:12" x14ac:dyDescent="0.2">
      <c r="A61" s="2" t="s">
        <v>11</v>
      </c>
      <c r="B61" s="2" t="s">
        <v>55</v>
      </c>
      <c r="C61" s="2" t="s">
        <v>69</v>
      </c>
      <c r="D61" s="2" t="s">
        <v>73</v>
      </c>
      <c r="E61" s="2" t="s">
        <v>75</v>
      </c>
      <c r="F61" s="2" t="s">
        <v>77</v>
      </c>
      <c r="G61" s="2">
        <v>2025</v>
      </c>
      <c r="H61" s="3">
        <v>84853</v>
      </c>
      <c r="I61" s="3">
        <v>9526885.0734797735</v>
      </c>
      <c r="J61" s="4">
        <f>Table13[[#This Row],[Unique Visitors]]/Table13[[#This Row],[Sales]]</f>
        <v>112.27517086584768</v>
      </c>
      <c r="K61" s="5">
        <f>Table13[[#This Row],[Sales]]/Table13[[#This Row],[Unique Visitors]]</f>
        <v>8.9066887388205614E-3</v>
      </c>
      <c r="L61"/>
    </row>
    <row r="62" spans="1:12" x14ac:dyDescent="0.2">
      <c r="A62" s="2" t="s">
        <v>11</v>
      </c>
      <c r="B62" s="2" t="s">
        <v>40</v>
      </c>
      <c r="C62" s="2" t="s">
        <v>63</v>
      </c>
      <c r="D62" s="2" t="s">
        <v>72</v>
      </c>
      <c r="E62" s="2" t="s">
        <v>75</v>
      </c>
      <c r="F62" s="2" t="s">
        <v>77</v>
      </c>
      <c r="G62" s="2">
        <v>2025</v>
      </c>
      <c r="H62" s="3">
        <v>84306</v>
      </c>
      <c r="I62" s="3">
        <v>6602498.1425891267</v>
      </c>
      <c r="J62" s="4">
        <f>Table13[[#This Row],[Unique Visitors]]/Table13[[#This Row],[Sales]]</f>
        <v>78.315874820168517</v>
      </c>
      <c r="K62" s="5">
        <f>Table13[[#This Row],[Sales]]/Table13[[#This Row],[Unique Visitors]]</f>
        <v>1.2768803289195618E-2</v>
      </c>
      <c r="L62"/>
    </row>
    <row r="63" spans="1:12" x14ac:dyDescent="0.2">
      <c r="A63" s="2" t="s">
        <v>11</v>
      </c>
      <c r="B63" s="2" t="s">
        <v>43</v>
      </c>
      <c r="C63" s="2" t="s">
        <v>69</v>
      </c>
      <c r="D63" s="2" t="s">
        <v>73</v>
      </c>
      <c r="E63" s="2" t="s">
        <v>75</v>
      </c>
      <c r="F63" s="2" t="s">
        <v>77</v>
      </c>
      <c r="G63" s="2">
        <v>2025</v>
      </c>
      <c r="H63" s="3">
        <v>84224</v>
      </c>
      <c r="I63" s="3">
        <v>6228674.5516951066</v>
      </c>
      <c r="J63" s="4">
        <f>Table13[[#This Row],[Unique Visitors]]/Table13[[#This Row],[Sales]]</f>
        <v>73.953677712945321</v>
      </c>
      <c r="K63" s="5">
        <f>Table13[[#This Row],[Sales]]/Table13[[#This Row],[Unique Visitors]]</f>
        <v>1.3521977958710142E-2</v>
      </c>
      <c r="L63"/>
    </row>
    <row r="64" spans="1:12" x14ac:dyDescent="0.2">
      <c r="A64" s="2" t="s">
        <v>65</v>
      </c>
      <c r="B64" s="2" t="s">
        <v>48</v>
      </c>
      <c r="C64" s="2" t="s">
        <v>61</v>
      </c>
      <c r="D64" s="2" t="s">
        <v>73</v>
      </c>
      <c r="E64" s="2" t="s">
        <v>75</v>
      </c>
      <c r="F64" s="2" t="s">
        <v>77</v>
      </c>
      <c r="G64" s="2">
        <v>2025</v>
      </c>
      <c r="H64" s="3">
        <v>83308</v>
      </c>
      <c r="I64" s="3">
        <v>6307578.0126706734</v>
      </c>
      <c r="J64" s="4">
        <f>Table13[[#This Row],[Unique Visitors]]/Table13[[#This Row],[Sales]]</f>
        <v>75.713953193819009</v>
      </c>
      <c r="K64" s="5">
        <f>Table13[[#This Row],[Sales]]/Table13[[#This Row],[Unique Visitors]]</f>
        <v>1.320760517470426E-2</v>
      </c>
      <c r="L64"/>
    </row>
    <row r="65" spans="1:12" x14ac:dyDescent="0.2">
      <c r="A65" s="2" t="s">
        <v>11</v>
      </c>
      <c r="B65" s="2" t="s">
        <v>41</v>
      </c>
      <c r="C65" s="2" t="s">
        <v>64</v>
      </c>
      <c r="D65" s="2" t="s">
        <v>73</v>
      </c>
      <c r="E65" s="2" t="s">
        <v>75</v>
      </c>
      <c r="F65" s="2" t="s">
        <v>78</v>
      </c>
      <c r="G65" s="2">
        <v>2024</v>
      </c>
      <c r="H65" s="3">
        <v>81536</v>
      </c>
      <c r="I65" s="3">
        <v>2574000</v>
      </c>
      <c r="J65" s="4">
        <f>Table13[[#This Row],[Unique Visitors]]/Table13[[#This Row],[Sales]]</f>
        <v>31.568877551020407</v>
      </c>
      <c r="K65" s="5">
        <f>Table13[[#This Row],[Sales]]/Table13[[#This Row],[Unique Visitors]]</f>
        <v>3.1676767676767678E-2</v>
      </c>
      <c r="L65"/>
    </row>
    <row r="66" spans="1:12" x14ac:dyDescent="0.2">
      <c r="A66" s="2" t="s">
        <v>11</v>
      </c>
      <c r="B66" s="2" t="s">
        <v>45</v>
      </c>
      <c r="C66" s="2" t="s">
        <v>61</v>
      </c>
      <c r="D66" s="2" t="s">
        <v>73</v>
      </c>
      <c r="E66" s="2" t="s">
        <v>75</v>
      </c>
      <c r="F66" s="2" t="s">
        <v>77</v>
      </c>
      <c r="G66" s="2">
        <v>2025</v>
      </c>
      <c r="H66" s="3">
        <v>79984</v>
      </c>
      <c r="I66" s="3">
        <v>3300689.4140495718</v>
      </c>
      <c r="J66" s="4">
        <f>Table13[[#This Row],[Unique Visitors]]/Table13[[#This Row],[Sales]]</f>
        <v>41.266871049829611</v>
      </c>
      <c r="K66" s="5">
        <f>Table13[[#This Row],[Sales]]/Table13[[#This Row],[Unique Visitors]]</f>
        <v>2.4232513262091113E-2</v>
      </c>
      <c r="L66"/>
    </row>
    <row r="67" spans="1:12" x14ac:dyDescent="0.2">
      <c r="A67" s="2" t="s">
        <v>11</v>
      </c>
      <c r="B67" s="2" t="s">
        <v>56</v>
      </c>
      <c r="C67" s="2" t="s">
        <v>62</v>
      </c>
      <c r="D67" s="2" t="s">
        <v>73</v>
      </c>
      <c r="E67" s="2" t="s">
        <v>75</v>
      </c>
      <c r="F67" s="2" t="s">
        <v>77</v>
      </c>
      <c r="G67" s="2">
        <v>2024</v>
      </c>
      <c r="H67" s="3">
        <v>78895</v>
      </c>
      <c r="I67" s="3">
        <v>4738831.0175760323</v>
      </c>
      <c r="J67" s="4">
        <f>Table13[[#This Row],[Unique Visitors]]/Table13[[#This Row],[Sales]]</f>
        <v>60.065036029862888</v>
      </c>
      <c r="K67" s="5">
        <f>Table13[[#This Row],[Sales]]/Table13[[#This Row],[Unique Visitors]]</f>
        <v>1.6648620663489225E-2</v>
      </c>
      <c r="L67"/>
    </row>
    <row r="68" spans="1:12" x14ac:dyDescent="0.2">
      <c r="A68" s="2" t="s">
        <v>11</v>
      </c>
      <c r="B68" s="2" t="s">
        <v>50</v>
      </c>
      <c r="C68" s="2" t="s">
        <v>71</v>
      </c>
      <c r="D68" s="2" t="s">
        <v>73</v>
      </c>
      <c r="E68" s="2" t="s">
        <v>75</v>
      </c>
      <c r="F68" s="2" t="s">
        <v>77</v>
      </c>
      <c r="G68" s="2">
        <v>2024</v>
      </c>
      <c r="H68" s="3">
        <v>78601</v>
      </c>
      <c r="I68" s="3">
        <v>4630093.3965101428</v>
      </c>
      <c r="J68" s="4">
        <f>Table13[[#This Row],[Unique Visitors]]/Table13[[#This Row],[Sales]]</f>
        <v>58.906291224159268</v>
      </c>
      <c r="K68" s="5">
        <f>Table13[[#This Row],[Sales]]/Table13[[#This Row],[Unique Visitors]]</f>
        <v>1.6976115440618156E-2</v>
      </c>
      <c r="L68"/>
    </row>
    <row r="69" spans="1:12" x14ac:dyDescent="0.2">
      <c r="A69" s="2" t="s">
        <v>11</v>
      </c>
      <c r="B69" s="2" t="s">
        <v>50</v>
      </c>
      <c r="C69" s="2" t="s">
        <v>71</v>
      </c>
      <c r="D69" s="2" t="s">
        <v>73</v>
      </c>
      <c r="E69" s="2" t="s">
        <v>75</v>
      </c>
      <c r="F69" s="2" t="s">
        <v>77</v>
      </c>
      <c r="G69" s="2">
        <v>2025</v>
      </c>
      <c r="H69" s="3">
        <v>78481</v>
      </c>
      <c r="I69" s="3">
        <v>4867550.9900872558</v>
      </c>
      <c r="J69" s="4">
        <f>Table13[[#This Row],[Unique Visitors]]/Table13[[#This Row],[Sales]]</f>
        <v>62.022030683697402</v>
      </c>
      <c r="K69" s="5">
        <f>Table13[[#This Row],[Sales]]/Table13[[#This Row],[Unique Visitors]]</f>
        <v>1.6123303106598406E-2</v>
      </c>
      <c r="L69"/>
    </row>
    <row r="70" spans="1:12" x14ac:dyDescent="0.2">
      <c r="A70" s="2" t="s">
        <v>60</v>
      </c>
      <c r="B70" s="2" t="s">
        <v>45</v>
      </c>
      <c r="C70" s="2" t="s">
        <v>61</v>
      </c>
      <c r="D70" s="2" t="s">
        <v>73</v>
      </c>
      <c r="E70" s="2" t="s">
        <v>75</v>
      </c>
      <c r="F70" s="2" t="s">
        <v>77</v>
      </c>
      <c r="G70" s="2">
        <v>2024</v>
      </c>
      <c r="H70" s="3">
        <v>78164</v>
      </c>
      <c r="I70" s="3">
        <v>3651275.5670883493</v>
      </c>
      <c r="J70" s="4">
        <f>Table13[[#This Row],[Unique Visitors]]/Table13[[#This Row],[Sales]]</f>
        <v>46.713008125074836</v>
      </c>
      <c r="K70" s="5">
        <f>Table13[[#This Row],[Sales]]/Table13[[#This Row],[Unique Visitors]]</f>
        <v>2.1407313297454187E-2</v>
      </c>
      <c r="L70"/>
    </row>
    <row r="71" spans="1:12" x14ac:dyDescent="0.2">
      <c r="A71" s="2" t="s">
        <v>65</v>
      </c>
      <c r="B71" s="2" t="s">
        <v>58</v>
      </c>
      <c r="C71" s="2" t="s">
        <v>63</v>
      </c>
      <c r="D71" s="2" t="s">
        <v>73</v>
      </c>
      <c r="E71" s="2" t="s">
        <v>75</v>
      </c>
      <c r="F71" s="2" t="s">
        <v>77</v>
      </c>
      <c r="G71" s="2">
        <v>2025</v>
      </c>
      <c r="H71" s="3">
        <v>76545</v>
      </c>
      <c r="I71" s="3">
        <v>5993828.4365188964</v>
      </c>
      <c r="J71" s="4">
        <f>Table13[[#This Row],[Unique Visitors]]/Table13[[#This Row],[Sales]]</f>
        <v>78.304636965430745</v>
      </c>
      <c r="K71" s="5">
        <f>Table13[[#This Row],[Sales]]/Table13[[#This Row],[Unique Visitors]]</f>
        <v>1.277063579825383E-2</v>
      </c>
      <c r="L71"/>
    </row>
    <row r="72" spans="1:12" x14ac:dyDescent="0.2">
      <c r="A72" s="2" t="s">
        <v>60</v>
      </c>
      <c r="B72" s="2" t="s">
        <v>45</v>
      </c>
      <c r="C72" s="2" t="s">
        <v>61</v>
      </c>
      <c r="D72" s="2" t="s">
        <v>73</v>
      </c>
      <c r="E72" s="2" t="s">
        <v>75</v>
      </c>
      <c r="F72" s="2" t="s">
        <v>77</v>
      </c>
      <c r="G72" s="2">
        <v>2025</v>
      </c>
      <c r="H72" s="3">
        <v>75397</v>
      </c>
      <c r="I72" s="3">
        <v>3216163.8073285311</v>
      </c>
      <c r="J72" s="4">
        <f>Table13[[#This Row],[Unique Visitors]]/Table13[[#This Row],[Sales]]</f>
        <v>42.656389608718264</v>
      </c>
      <c r="K72" s="5">
        <f>Table13[[#This Row],[Sales]]/Table13[[#This Row],[Unique Visitors]]</f>
        <v>2.3443146716655469E-2</v>
      </c>
      <c r="L72"/>
    </row>
    <row r="73" spans="1:12" x14ac:dyDescent="0.2">
      <c r="A73" s="2" t="s">
        <v>11</v>
      </c>
      <c r="B73" s="2" t="s">
        <v>41</v>
      </c>
      <c r="C73" s="2" t="s">
        <v>64</v>
      </c>
      <c r="D73" s="2" t="s">
        <v>73</v>
      </c>
      <c r="E73" s="2" t="s">
        <v>75</v>
      </c>
      <c r="F73" s="2" t="s">
        <v>78</v>
      </c>
      <c r="G73" s="2">
        <v>2025</v>
      </c>
      <c r="H73" s="3">
        <v>75309</v>
      </c>
      <c r="I73" s="3">
        <v>2552000</v>
      </c>
      <c r="J73" s="4">
        <f>Table13[[#This Row],[Unique Visitors]]/Table13[[#This Row],[Sales]]</f>
        <v>33.887052012375676</v>
      </c>
      <c r="K73" s="5">
        <f>Table13[[#This Row],[Sales]]/Table13[[#This Row],[Unique Visitors]]</f>
        <v>2.9509796238244516E-2</v>
      </c>
      <c r="L73"/>
    </row>
    <row r="74" spans="1:12" x14ac:dyDescent="0.2">
      <c r="A74" s="2" t="s">
        <v>60</v>
      </c>
      <c r="B74" s="2" t="s">
        <v>48</v>
      </c>
      <c r="C74" s="2" t="s">
        <v>61</v>
      </c>
      <c r="D74" s="2" t="s">
        <v>73</v>
      </c>
      <c r="E74" s="2" t="s">
        <v>75</v>
      </c>
      <c r="F74" s="2" t="s">
        <v>77</v>
      </c>
      <c r="G74" s="2">
        <v>2025</v>
      </c>
      <c r="H74" s="3">
        <v>74326</v>
      </c>
      <c r="I74" s="3">
        <v>7104628.6003043167</v>
      </c>
      <c r="J74" s="4">
        <f>Table13[[#This Row],[Unique Visitors]]/Table13[[#This Row],[Sales]]</f>
        <v>95.587393379225531</v>
      </c>
      <c r="K74" s="5">
        <f>Table13[[#This Row],[Sales]]/Table13[[#This Row],[Unique Visitors]]</f>
        <v>1.0461630604704144E-2</v>
      </c>
      <c r="L74"/>
    </row>
    <row r="75" spans="1:12" x14ac:dyDescent="0.2">
      <c r="A75" s="2" t="s">
        <v>63</v>
      </c>
      <c r="B75" s="2" t="s">
        <v>19</v>
      </c>
      <c r="C75" s="2" t="s">
        <v>66</v>
      </c>
      <c r="D75" s="2" t="s">
        <v>73</v>
      </c>
      <c r="E75" s="2" t="s">
        <v>75</v>
      </c>
      <c r="F75" s="2" t="s">
        <v>77</v>
      </c>
      <c r="G75" s="2">
        <v>2025</v>
      </c>
      <c r="H75" s="3">
        <v>73644</v>
      </c>
      <c r="I75" s="3">
        <v>5794577.2253212426</v>
      </c>
      <c r="J75" s="4">
        <f>Table13[[#This Row],[Unique Visitors]]/Table13[[#This Row],[Sales]]</f>
        <v>78.683629695850883</v>
      </c>
      <c r="K75" s="5">
        <f>Table13[[#This Row],[Sales]]/Table13[[#This Row],[Unique Visitors]]</f>
        <v>1.2709123916441944E-2</v>
      </c>
      <c r="L75"/>
    </row>
    <row r="76" spans="1:12" x14ac:dyDescent="0.2">
      <c r="A76" s="2" t="s">
        <v>60</v>
      </c>
      <c r="B76" s="2" t="s">
        <v>15</v>
      </c>
      <c r="C76" s="2" t="s">
        <v>63</v>
      </c>
      <c r="D76" s="2" t="s">
        <v>72</v>
      </c>
      <c r="E76" s="2" t="s">
        <v>75</v>
      </c>
      <c r="F76" s="2" t="s">
        <v>77</v>
      </c>
      <c r="G76" s="2">
        <v>2025</v>
      </c>
      <c r="H76" s="3">
        <v>73224</v>
      </c>
      <c r="I76" s="3">
        <v>7311077.817663826</v>
      </c>
      <c r="J76" s="4">
        <f>Table13[[#This Row],[Unique Visitors]]/Table13[[#This Row],[Sales]]</f>
        <v>99.845376074290201</v>
      </c>
      <c r="K76" s="5">
        <f>Table13[[#This Row],[Sales]]/Table13[[#This Row],[Unique Visitors]]</f>
        <v>1.0015486338154984E-2</v>
      </c>
      <c r="L76"/>
    </row>
    <row r="77" spans="1:12" x14ac:dyDescent="0.2">
      <c r="A77" s="2" t="s">
        <v>11</v>
      </c>
      <c r="B77" s="2" t="s">
        <v>56</v>
      </c>
      <c r="C77" s="2" t="s">
        <v>62</v>
      </c>
      <c r="D77" s="2" t="s">
        <v>73</v>
      </c>
      <c r="E77" s="2" t="s">
        <v>75</v>
      </c>
      <c r="F77" s="2" t="s">
        <v>77</v>
      </c>
      <c r="G77" s="2">
        <v>2025</v>
      </c>
      <c r="H77" s="3">
        <v>73186</v>
      </c>
      <c r="I77" s="3">
        <v>4044251.9448690629</v>
      </c>
      <c r="J77" s="4">
        <f>Table13[[#This Row],[Unique Visitors]]/Table13[[#This Row],[Sales]]</f>
        <v>55.259912344834568</v>
      </c>
      <c r="K77" s="5">
        <f>Table13[[#This Row],[Sales]]/Table13[[#This Row],[Unique Visitors]]</f>
        <v>1.8096300872860054E-2</v>
      </c>
      <c r="L77"/>
    </row>
    <row r="78" spans="1:12" x14ac:dyDescent="0.2">
      <c r="A78" s="2" t="s">
        <v>63</v>
      </c>
      <c r="B78" s="2" t="s">
        <v>19</v>
      </c>
      <c r="C78" s="2" t="s">
        <v>66</v>
      </c>
      <c r="D78" s="2" t="s">
        <v>73</v>
      </c>
      <c r="E78" s="2" t="s">
        <v>75</v>
      </c>
      <c r="F78" s="2" t="s">
        <v>77</v>
      </c>
      <c r="G78" s="2">
        <v>2024</v>
      </c>
      <c r="H78" s="3">
        <v>71424</v>
      </c>
      <c r="I78" s="3">
        <v>5231469.8064050227</v>
      </c>
      <c r="J78" s="4">
        <f>Table13[[#This Row],[Unique Visitors]]/Table13[[#This Row],[Sales]]</f>
        <v>73.245264986629465</v>
      </c>
      <c r="K78" s="5">
        <f>Table13[[#This Row],[Sales]]/Table13[[#This Row],[Unique Visitors]]</f>
        <v>1.3652759672349397E-2</v>
      </c>
      <c r="L78"/>
    </row>
    <row r="79" spans="1:12" x14ac:dyDescent="0.2">
      <c r="A79" s="2" t="s">
        <v>60</v>
      </c>
      <c r="B79" s="2" t="s">
        <v>15</v>
      </c>
      <c r="C79" s="2" t="s">
        <v>63</v>
      </c>
      <c r="D79" s="2" t="s">
        <v>72</v>
      </c>
      <c r="E79" s="2" t="s">
        <v>75</v>
      </c>
      <c r="F79" s="2" t="s">
        <v>77</v>
      </c>
      <c r="G79" s="2">
        <v>2024</v>
      </c>
      <c r="H79" s="3">
        <v>71045</v>
      </c>
      <c r="I79" s="3">
        <v>7305423.2996735936</v>
      </c>
      <c r="J79" s="4">
        <f>Table13[[#This Row],[Unique Visitors]]/Table13[[#This Row],[Sales]]</f>
        <v>102.82811316311624</v>
      </c>
      <c r="K79" s="5">
        <f>Table13[[#This Row],[Sales]]/Table13[[#This Row],[Unique Visitors]]</f>
        <v>9.7249669301400082E-3</v>
      </c>
      <c r="L79"/>
    </row>
    <row r="80" spans="1:12" x14ac:dyDescent="0.2">
      <c r="A80" s="2" t="s">
        <v>11</v>
      </c>
      <c r="B80" s="2" t="s">
        <v>45</v>
      </c>
      <c r="C80" s="2" t="s">
        <v>61</v>
      </c>
      <c r="D80" s="2" t="s">
        <v>73</v>
      </c>
      <c r="E80" s="2" t="s">
        <v>75</v>
      </c>
      <c r="F80" s="2" t="s">
        <v>77</v>
      </c>
      <c r="G80" s="2">
        <v>2024</v>
      </c>
      <c r="H80" s="3">
        <v>68905</v>
      </c>
      <c r="I80" s="3">
        <v>2991680.5672907741</v>
      </c>
      <c r="J80" s="4">
        <f>Table13[[#This Row],[Unique Visitors]]/Table13[[#This Row],[Sales]]</f>
        <v>43.417467053055283</v>
      </c>
      <c r="K80" s="5">
        <f>Table13[[#This Row],[Sales]]/Table13[[#This Row],[Unique Visitors]]</f>
        <v>2.3032204959769299E-2</v>
      </c>
      <c r="L80"/>
    </row>
    <row r="81" spans="1:12" x14ac:dyDescent="0.2">
      <c r="A81" s="2" t="s">
        <v>60</v>
      </c>
      <c r="B81" s="2" t="s">
        <v>14</v>
      </c>
      <c r="C81" s="2" t="s">
        <v>63</v>
      </c>
      <c r="D81" s="2" t="s">
        <v>72</v>
      </c>
      <c r="E81" s="2" t="s">
        <v>75</v>
      </c>
      <c r="F81" s="2" t="s">
        <v>77</v>
      </c>
      <c r="G81" s="2">
        <v>2025</v>
      </c>
      <c r="H81" s="3">
        <v>68845</v>
      </c>
      <c r="I81" s="3">
        <v>5664356.5951624084</v>
      </c>
      <c r="J81" s="4">
        <f>Table13[[#This Row],[Unique Visitors]]/Table13[[#This Row],[Sales]]</f>
        <v>82.276949599279661</v>
      </c>
      <c r="K81" s="5">
        <f>Table13[[#This Row],[Sales]]/Table13[[#This Row],[Unique Visitors]]</f>
        <v>1.2154072372279039E-2</v>
      </c>
      <c r="L81"/>
    </row>
    <row r="82" spans="1:12" x14ac:dyDescent="0.2">
      <c r="A82" s="2" t="s">
        <v>60</v>
      </c>
      <c r="B82" s="2" t="s">
        <v>23</v>
      </c>
      <c r="C82" s="2" t="s">
        <v>67</v>
      </c>
      <c r="D82" s="2" t="s">
        <v>73</v>
      </c>
      <c r="E82" s="2" t="s">
        <v>75</v>
      </c>
      <c r="F82" s="2" t="s">
        <v>77</v>
      </c>
      <c r="G82" s="2">
        <v>2024</v>
      </c>
      <c r="H82" s="3">
        <v>68715</v>
      </c>
      <c r="I82" s="3">
        <v>7609652.5554469144</v>
      </c>
      <c r="J82" s="4">
        <f>Table13[[#This Row],[Unique Visitors]]/Table13[[#This Row],[Sales]]</f>
        <v>110.74223321613788</v>
      </c>
      <c r="K82" s="5">
        <f>Table13[[#This Row],[Sales]]/Table13[[#This Row],[Unique Visitors]]</f>
        <v>9.0299786355967689E-3</v>
      </c>
      <c r="L82"/>
    </row>
    <row r="83" spans="1:12" x14ac:dyDescent="0.2">
      <c r="A83" s="2" t="s">
        <v>63</v>
      </c>
      <c r="B83" s="2" t="s">
        <v>32</v>
      </c>
      <c r="C83" s="2" t="s">
        <v>68</v>
      </c>
      <c r="D83" s="2" t="s">
        <v>73</v>
      </c>
      <c r="E83" s="2" t="s">
        <v>75</v>
      </c>
      <c r="F83" s="2" t="s">
        <v>77</v>
      </c>
      <c r="G83" s="2">
        <v>2024</v>
      </c>
      <c r="H83" s="3">
        <v>68656</v>
      </c>
      <c r="I83" s="3">
        <v>4685769.7166827712</v>
      </c>
      <c r="J83" s="4">
        <f>Table13[[#This Row],[Unique Visitors]]/Table13[[#This Row],[Sales]]</f>
        <v>68.249966742641149</v>
      </c>
      <c r="K83" s="5">
        <f>Table13[[#This Row],[Sales]]/Table13[[#This Row],[Unique Visitors]]</f>
        <v>1.4652021791758923E-2</v>
      </c>
      <c r="L83"/>
    </row>
    <row r="84" spans="1:12" x14ac:dyDescent="0.2">
      <c r="A84" s="2" t="s">
        <v>65</v>
      </c>
      <c r="B84" s="2" t="s">
        <v>27</v>
      </c>
      <c r="C84" s="2" t="s">
        <v>68</v>
      </c>
      <c r="D84" s="2" t="s">
        <v>73</v>
      </c>
      <c r="E84" s="2" t="s">
        <v>75</v>
      </c>
      <c r="F84" s="2" t="s">
        <v>77</v>
      </c>
      <c r="G84" s="2">
        <v>2025</v>
      </c>
      <c r="H84" s="3">
        <v>68568</v>
      </c>
      <c r="I84" s="3">
        <v>6434205.9435373815</v>
      </c>
      <c r="J84" s="4">
        <f>Table13[[#This Row],[Unique Visitors]]/Table13[[#This Row],[Sales]]</f>
        <v>93.836861853012792</v>
      </c>
      <c r="K84" s="5">
        <f>Table13[[#This Row],[Sales]]/Table13[[#This Row],[Unique Visitors]]</f>
        <v>1.0656792866394149E-2</v>
      </c>
      <c r="L84"/>
    </row>
    <row r="85" spans="1:12" x14ac:dyDescent="0.2">
      <c r="A85" s="2" t="s">
        <v>60</v>
      </c>
      <c r="B85" s="2" t="s">
        <v>30</v>
      </c>
      <c r="C85" s="2" t="s">
        <v>67</v>
      </c>
      <c r="D85" s="2" t="s">
        <v>73</v>
      </c>
      <c r="E85" s="2" t="s">
        <v>75</v>
      </c>
      <c r="F85" s="2" t="s">
        <v>77</v>
      </c>
      <c r="G85" s="2">
        <v>2024</v>
      </c>
      <c r="H85" s="3">
        <v>68441</v>
      </c>
      <c r="I85" s="3">
        <v>4023000</v>
      </c>
      <c r="J85" s="4">
        <f>Table13[[#This Row],[Unique Visitors]]/Table13[[#This Row],[Sales]]</f>
        <v>58.780555514969095</v>
      </c>
      <c r="K85" s="5">
        <f>Table13[[#This Row],[Sales]]/Table13[[#This Row],[Unique Visitors]]</f>
        <v>1.7012428535918469E-2</v>
      </c>
      <c r="L85"/>
    </row>
    <row r="86" spans="1:12" x14ac:dyDescent="0.2">
      <c r="A86" s="2" t="s">
        <v>60</v>
      </c>
      <c r="B86" s="2" t="s">
        <v>14</v>
      </c>
      <c r="C86" s="2" t="s">
        <v>63</v>
      </c>
      <c r="D86" s="2" t="s">
        <v>72</v>
      </c>
      <c r="E86" s="2" t="s">
        <v>75</v>
      </c>
      <c r="F86" s="2" t="s">
        <v>77</v>
      </c>
      <c r="G86" s="2">
        <v>2024</v>
      </c>
      <c r="H86" s="3">
        <v>67811</v>
      </c>
      <c r="I86" s="3">
        <v>5682467.2402015692</v>
      </c>
      <c r="J86" s="4">
        <f>Table13[[#This Row],[Unique Visitors]]/Table13[[#This Row],[Sales]]</f>
        <v>83.798605538947498</v>
      </c>
      <c r="K86" s="5">
        <f>Table13[[#This Row],[Sales]]/Table13[[#This Row],[Unique Visitors]]</f>
        <v>1.1933372799804227E-2</v>
      </c>
      <c r="L86"/>
    </row>
    <row r="87" spans="1:12" x14ac:dyDescent="0.2">
      <c r="A87" s="2" t="s">
        <v>63</v>
      </c>
      <c r="B87" s="2" t="s">
        <v>45</v>
      </c>
      <c r="C87" s="2" t="s">
        <v>61</v>
      </c>
      <c r="D87" s="2" t="s">
        <v>73</v>
      </c>
      <c r="E87" s="2" t="s">
        <v>75</v>
      </c>
      <c r="F87" s="2" t="s">
        <v>77</v>
      </c>
      <c r="G87" s="2">
        <v>2024</v>
      </c>
      <c r="H87" s="3">
        <v>67454</v>
      </c>
      <c r="I87" s="3">
        <v>3322177.2091097184</v>
      </c>
      <c r="J87" s="4">
        <f>Table13[[#This Row],[Unique Visitors]]/Table13[[#This Row],[Sales]]</f>
        <v>49.251003781980586</v>
      </c>
      <c r="K87" s="5">
        <f>Table13[[#This Row],[Sales]]/Table13[[#This Row],[Unique Visitors]]</f>
        <v>2.030415470163207E-2</v>
      </c>
      <c r="L87"/>
    </row>
    <row r="88" spans="1:12" x14ac:dyDescent="0.2">
      <c r="A88" s="2" t="s">
        <v>61</v>
      </c>
      <c r="B88" s="2" t="s">
        <v>15</v>
      </c>
      <c r="C88" s="2" t="s">
        <v>63</v>
      </c>
      <c r="D88" s="2" t="s">
        <v>72</v>
      </c>
      <c r="E88" s="2" t="s">
        <v>75</v>
      </c>
      <c r="F88" s="2" t="s">
        <v>77</v>
      </c>
      <c r="G88" s="2">
        <v>2024</v>
      </c>
      <c r="H88" s="3">
        <v>67147</v>
      </c>
      <c r="I88" s="3">
        <v>6788415.067935464</v>
      </c>
      <c r="J88" s="4">
        <f>Table13[[#This Row],[Unique Visitors]]/Table13[[#This Row],[Sales]]</f>
        <v>101.0978162529296</v>
      </c>
      <c r="K88" s="5">
        <f>Table13[[#This Row],[Sales]]/Table13[[#This Row],[Unique Visitors]]</f>
        <v>9.891410488018549E-3</v>
      </c>
      <c r="L88"/>
    </row>
    <row r="89" spans="1:12" x14ac:dyDescent="0.2">
      <c r="A89" s="2" t="s">
        <v>65</v>
      </c>
      <c r="B89" s="2" t="s">
        <v>58</v>
      </c>
      <c r="C89" s="2" t="s">
        <v>63</v>
      </c>
      <c r="D89" s="2" t="s">
        <v>73</v>
      </c>
      <c r="E89" s="2" t="s">
        <v>75</v>
      </c>
      <c r="F89" s="2" t="s">
        <v>77</v>
      </c>
      <c r="G89" s="2">
        <v>2024</v>
      </c>
      <c r="H89" s="3">
        <v>66904</v>
      </c>
      <c r="I89" s="3">
        <v>6134620.9464110229</v>
      </c>
      <c r="J89" s="4">
        <f>Table13[[#This Row],[Unique Visitors]]/Table13[[#This Row],[Sales]]</f>
        <v>91.69288751660622</v>
      </c>
      <c r="K89" s="5">
        <f>Table13[[#This Row],[Sales]]/Table13[[#This Row],[Unique Visitors]]</f>
        <v>1.0905971303596398E-2</v>
      </c>
      <c r="L89"/>
    </row>
    <row r="90" spans="1:12" x14ac:dyDescent="0.2">
      <c r="A90" s="2" t="s">
        <v>11</v>
      </c>
      <c r="B90" s="2" t="s">
        <v>57</v>
      </c>
      <c r="C90" s="2" t="s">
        <v>70</v>
      </c>
      <c r="D90" s="2" t="s">
        <v>72</v>
      </c>
      <c r="E90" s="2" t="s">
        <v>75</v>
      </c>
      <c r="F90" s="2" t="s">
        <v>77</v>
      </c>
      <c r="G90" s="2">
        <v>2024</v>
      </c>
      <c r="H90" s="3">
        <v>66408</v>
      </c>
      <c r="I90" s="3">
        <v>6094892.8063082583</v>
      </c>
      <c r="J90" s="4">
        <f>Table13[[#This Row],[Unique Visitors]]/Table13[[#This Row],[Sales]]</f>
        <v>91.779496541203741</v>
      </c>
      <c r="K90" s="5">
        <f>Table13[[#This Row],[Sales]]/Table13[[#This Row],[Unique Visitors]]</f>
        <v>1.0895679728980178E-2</v>
      </c>
      <c r="L90"/>
    </row>
    <row r="91" spans="1:12" x14ac:dyDescent="0.2">
      <c r="A91" s="2" t="s">
        <v>65</v>
      </c>
      <c r="B91" s="2" t="s">
        <v>49</v>
      </c>
      <c r="C91" s="2" t="s">
        <v>65</v>
      </c>
      <c r="D91" s="2" t="s">
        <v>73</v>
      </c>
      <c r="E91" s="2" t="s">
        <v>75</v>
      </c>
      <c r="F91" s="2" t="s">
        <v>77</v>
      </c>
      <c r="G91" s="2">
        <v>2025</v>
      </c>
      <c r="H91" s="3">
        <v>66142</v>
      </c>
      <c r="I91" s="3">
        <v>2819523.7496515857</v>
      </c>
      <c r="J91" s="4">
        <f>Table13[[#This Row],[Unique Visitors]]/Table13[[#This Row],[Sales]]</f>
        <v>42.628341290731846</v>
      </c>
      <c r="K91" s="5">
        <f>Table13[[#This Row],[Sales]]/Table13[[#This Row],[Unique Visitors]]</f>
        <v>2.3458571685439182E-2</v>
      </c>
      <c r="L91"/>
    </row>
    <row r="92" spans="1:12" x14ac:dyDescent="0.2">
      <c r="A92" s="2" t="s">
        <v>65</v>
      </c>
      <c r="B92" s="2" t="s">
        <v>19</v>
      </c>
      <c r="C92" s="2" t="s">
        <v>66</v>
      </c>
      <c r="D92" s="2" t="s">
        <v>73</v>
      </c>
      <c r="E92" s="2" t="s">
        <v>75</v>
      </c>
      <c r="F92" s="2" t="s">
        <v>77</v>
      </c>
      <c r="G92" s="2">
        <v>2025</v>
      </c>
      <c r="H92" s="3">
        <v>65788</v>
      </c>
      <c r="I92" s="3">
        <v>4462094.9464409919</v>
      </c>
      <c r="J92" s="4">
        <f>Table13[[#This Row],[Unique Visitors]]/Table13[[#This Row],[Sales]]</f>
        <v>67.825362474022498</v>
      </c>
      <c r="K92" s="5">
        <f>Table13[[#This Row],[Sales]]/Table13[[#This Row],[Unique Visitors]]</f>
        <v>1.4743747228523929E-2</v>
      </c>
      <c r="L92"/>
    </row>
    <row r="93" spans="1:12" x14ac:dyDescent="0.2">
      <c r="A93" s="2" t="s">
        <v>63</v>
      </c>
      <c r="B93" s="2" t="s">
        <v>49</v>
      </c>
      <c r="C93" s="2" t="s">
        <v>65</v>
      </c>
      <c r="D93" s="2" t="s">
        <v>73</v>
      </c>
      <c r="E93" s="2" t="s">
        <v>75</v>
      </c>
      <c r="F93" s="2" t="s">
        <v>77</v>
      </c>
      <c r="G93" s="2">
        <v>2025</v>
      </c>
      <c r="H93" s="3">
        <v>65406</v>
      </c>
      <c r="I93" s="3">
        <v>2233431.7718282873</v>
      </c>
      <c r="J93" s="4">
        <f>Table13[[#This Row],[Unique Visitors]]/Table13[[#This Row],[Sales]]</f>
        <v>34.147200131918893</v>
      </c>
      <c r="K93" s="5">
        <f>Table13[[#This Row],[Sales]]/Table13[[#This Row],[Unique Visitors]]</f>
        <v>2.9284977864561607E-2</v>
      </c>
      <c r="L93"/>
    </row>
    <row r="94" spans="1:12" x14ac:dyDescent="0.2">
      <c r="A94" s="2" t="s">
        <v>65</v>
      </c>
      <c r="B94" s="2" t="s">
        <v>49</v>
      </c>
      <c r="C94" s="2" t="s">
        <v>65</v>
      </c>
      <c r="D94" s="2" t="s">
        <v>73</v>
      </c>
      <c r="E94" s="2" t="s">
        <v>75</v>
      </c>
      <c r="F94" s="2" t="s">
        <v>77</v>
      </c>
      <c r="G94" s="2">
        <v>2024</v>
      </c>
      <c r="H94" s="3">
        <v>65300</v>
      </c>
      <c r="I94" s="3">
        <v>3461613.1652706745</v>
      </c>
      <c r="J94" s="4">
        <f>Table13[[#This Row],[Unique Visitors]]/Table13[[#This Row],[Sales]]</f>
        <v>53.010921367085366</v>
      </c>
      <c r="K94" s="5">
        <f>Table13[[#This Row],[Sales]]/Table13[[#This Row],[Unique Visitors]]</f>
        <v>1.8864037338179578E-2</v>
      </c>
      <c r="L94"/>
    </row>
    <row r="95" spans="1:12" x14ac:dyDescent="0.2">
      <c r="A95" s="2" t="s">
        <v>65</v>
      </c>
      <c r="B95" s="2" t="s">
        <v>27</v>
      </c>
      <c r="C95" s="2" t="s">
        <v>68</v>
      </c>
      <c r="D95" s="2" t="s">
        <v>73</v>
      </c>
      <c r="E95" s="2" t="s">
        <v>75</v>
      </c>
      <c r="F95" s="2" t="s">
        <v>77</v>
      </c>
      <c r="G95" s="2">
        <v>2024</v>
      </c>
      <c r="H95" s="3">
        <v>64855</v>
      </c>
      <c r="I95" s="3">
        <v>6007041.9120899457</v>
      </c>
      <c r="J95" s="4">
        <f>Table13[[#This Row],[Unique Visitors]]/Table13[[#This Row],[Sales]]</f>
        <v>92.622649172614999</v>
      </c>
      <c r="K95" s="5">
        <f>Table13[[#This Row],[Sales]]/Table13[[#This Row],[Unique Visitors]]</f>
        <v>1.0796495338158197E-2</v>
      </c>
      <c r="L95"/>
    </row>
    <row r="96" spans="1:12" x14ac:dyDescent="0.2">
      <c r="A96" s="2" t="s">
        <v>65</v>
      </c>
      <c r="B96" s="2" t="s">
        <v>48</v>
      </c>
      <c r="C96" s="2" t="s">
        <v>61</v>
      </c>
      <c r="D96" s="2" t="s">
        <v>73</v>
      </c>
      <c r="E96" s="2" t="s">
        <v>75</v>
      </c>
      <c r="F96" s="2" t="s">
        <v>77</v>
      </c>
      <c r="G96" s="2">
        <v>2024</v>
      </c>
      <c r="H96" s="3">
        <v>64237</v>
      </c>
      <c r="I96" s="3">
        <v>6338230.0551167689</v>
      </c>
      <c r="J96" s="4">
        <f>Table13[[#This Row],[Unique Visitors]]/Table13[[#This Row],[Sales]]</f>
        <v>98.669459269840885</v>
      </c>
      <c r="K96" s="5">
        <f>Table13[[#This Row],[Sales]]/Table13[[#This Row],[Unique Visitors]]</f>
        <v>1.0134848284363287E-2</v>
      </c>
      <c r="L96"/>
    </row>
    <row r="97" spans="1:12" x14ac:dyDescent="0.2">
      <c r="A97" s="2" t="s">
        <v>60</v>
      </c>
      <c r="B97" s="2" t="s">
        <v>30</v>
      </c>
      <c r="C97" s="2" t="s">
        <v>67</v>
      </c>
      <c r="D97" s="2" t="s">
        <v>73</v>
      </c>
      <c r="E97" s="2" t="s">
        <v>75</v>
      </c>
      <c r="F97" s="2" t="s">
        <v>77</v>
      </c>
      <c r="G97" s="2">
        <v>2025</v>
      </c>
      <c r="H97" s="3">
        <v>62495</v>
      </c>
      <c r="I97" s="3">
        <v>3467000</v>
      </c>
      <c r="J97" s="4">
        <f>Table13[[#This Row],[Unique Visitors]]/Table13[[#This Row],[Sales]]</f>
        <v>55.476438115049206</v>
      </c>
      <c r="K97" s="5">
        <f>Table13[[#This Row],[Sales]]/Table13[[#This Row],[Unique Visitors]]</f>
        <v>1.8025670608595327E-2</v>
      </c>
      <c r="L97"/>
    </row>
    <row r="98" spans="1:12" x14ac:dyDescent="0.2">
      <c r="A98" s="2" t="s">
        <v>11</v>
      </c>
      <c r="B98" s="2" t="s">
        <v>57</v>
      </c>
      <c r="C98" s="2" t="s">
        <v>70</v>
      </c>
      <c r="D98" s="2" t="s">
        <v>72</v>
      </c>
      <c r="E98" s="2" t="s">
        <v>75</v>
      </c>
      <c r="F98" s="2" t="s">
        <v>77</v>
      </c>
      <c r="G98" s="2">
        <v>2025</v>
      </c>
      <c r="H98" s="3">
        <v>62469</v>
      </c>
      <c r="I98" s="3">
        <v>4241065.7805975154</v>
      </c>
      <c r="J98" s="4">
        <f>Table13[[#This Row],[Unique Visitors]]/Table13[[#This Row],[Sales]]</f>
        <v>67.890726289799986</v>
      </c>
      <c r="K98" s="5">
        <f>Table13[[#This Row],[Sales]]/Table13[[#This Row],[Unique Visitors]]</f>
        <v>1.4729552247406751E-2</v>
      </c>
      <c r="L98"/>
    </row>
    <row r="99" spans="1:12" x14ac:dyDescent="0.2">
      <c r="A99" s="2" t="s">
        <v>63</v>
      </c>
      <c r="B99" s="2" t="s">
        <v>57</v>
      </c>
      <c r="C99" s="2" t="s">
        <v>70</v>
      </c>
      <c r="D99" s="2" t="s">
        <v>72</v>
      </c>
      <c r="E99" s="2" t="s">
        <v>75</v>
      </c>
      <c r="F99" s="2" t="s">
        <v>77</v>
      </c>
      <c r="G99" s="2">
        <v>2024</v>
      </c>
      <c r="H99" s="3">
        <v>62326</v>
      </c>
      <c r="I99" s="3">
        <v>3494652.2998625692</v>
      </c>
      <c r="J99" s="4">
        <f>Table13[[#This Row],[Unique Visitors]]/Table13[[#This Row],[Sales]]</f>
        <v>56.070537173291548</v>
      </c>
      <c r="K99" s="5">
        <f>Table13[[#This Row],[Sales]]/Table13[[#This Row],[Unique Visitors]]</f>
        <v>1.7834678432086373E-2</v>
      </c>
      <c r="L99"/>
    </row>
    <row r="100" spans="1:12" x14ac:dyDescent="0.2">
      <c r="A100" s="2" t="s">
        <v>65</v>
      </c>
      <c r="B100" s="2" t="s">
        <v>32</v>
      </c>
      <c r="C100" s="2" t="s">
        <v>68</v>
      </c>
      <c r="D100" s="2" t="s">
        <v>73</v>
      </c>
      <c r="E100" s="2" t="s">
        <v>75</v>
      </c>
      <c r="F100" s="2" t="s">
        <v>77</v>
      </c>
      <c r="G100" s="2">
        <v>2025</v>
      </c>
      <c r="H100" s="3">
        <v>61708</v>
      </c>
      <c r="I100" s="3">
        <v>5687876.2488754354</v>
      </c>
      <c r="J100" s="4">
        <f>Table13[[#This Row],[Unique Visitors]]/Table13[[#This Row],[Sales]]</f>
        <v>92.174049537749326</v>
      </c>
      <c r="K100" s="5">
        <f>Table13[[#This Row],[Sales]]/Table13[[#This Row],[Unique Visitors]]</f>
        <v>1.0849040538144698E-2</v>
      </c>
      <c r="L100"/>
    </row>
    <row r="101" spans="1:12" x14ac:dyDescent="0.2">
      <c r="A101" s="2" t="s">
        <v>11</v>
      </c>
      <c r="B101" s="2" t="s">
        <v>34</v>
      </c>
      <c r="C101" s="2" t="s">
        <v>62</v>
      </c>
      <c r="D101" s="2" t="s">
        <v>72</v>
      </c>
      <c r="E101" s="2" t="s">
        <v>75</v>
      </c>
      <c r="F101" s="2" t="s">
        <v>77</v>
      </c>
      <c r="G101" s="2">
        <v>2024</v>
      </c>
      <c r="H101" s="3">
        <v>61290</v>
      </c>
      <c r="I101" s="3">
        <v>3972457.66811956</v>
      </c>
      <c r="J101" s="4">
        <f>Table13[[#This Row],[Unique Visitors]]/Table13[[#This Row],[Sales]]</f>
        <v>64.814124133130363</v>
      </c>
      <c r="K101" s="5">
        <f>Table13[[#This Row],[Sales]]/Table13[[#This Row],[Unique Visitors]]</f>
        <v>1.5428735840755431E-2</v>
      </c>
      <c r="L101"/>
    </row>
    <row r="102" spans="1:12" x14ac:dyDescent="0.2">
      <c r="A102" s="2" t="s">
        <v>61</v>
      </c>
      <c r="B102" s="2" t="s">
        <v>15</v>
      </c>
      <c r="C102" s="2" t="s">
        <v>63</v>
      </c>
      <c r="D102" s="2" t="s">
        <v>72</v>
      </c>
      <c r="E102" s="2" t="s">
        <v>75</v>
      </c>
      <c r="F102" s="2" t="s">
        <v>77</v>
      </c>
      <c r="G102" s="2">
        <v>2025</v>
      </c>
      <c r="H102" s="3">
        <v>60904</v>
      </c>
      <c r="I102" s="3">
        <v>6965813.9706791537</v>
      </c>
      <c r="J102" s="4">
        <f>Table13[[#This Row],[Unique Visitors]]/Table13[[#This Row],[Sales]]</f>
        <v>114.37366955666546</v>
      </c>
      <c r="K102" s="5">
        <f>Table13[[#This Row],[Sales]]/Table13[[#This Row],[Unique Visitors]]</f>
        <v>8.7432711031847979E-3</v>
      </c>
      <c r="L102"/>
    </row>
    <row r="103" spans="1:12" x14ac:dyDescent="0.2">
      <c r="A103" s="2" t="s">
        <v>60</v>
      </c>
      <c r="B103" s="2" t="s">
        <v>23</v>
      </c>
      <c r="C103" s="2" t="s">
        <v>67</v>
      </c>
      <c r="D103" s="2" t="s">
        <v>73</v>
      </c>
      <c r="E103" s="2" t="s">
        <v>75</v>
      </c>
      <c r="F103" s="2" t="s">
        <v>77</v>
      </c>
      <c r="G103" s="2">
        <v>2025</v>
      </c>
      <c r="H103" s="3">
        <v>60726</v>
      </c>
      <c r="I103" s="3">
        <v>6707753.5127186086</v>
      </c>
      <c r="J103" s="4">
        <f>Table13[[#This Row],[Unique Visitors]]/Table13[[#This Row],[Sales]]</f>
        <v>110.45933393799375</v>
      </c>
      <c r="K103" s="5">
        <f>Table13[[#This Row],[Sales]]/Table13[[#This Row],[Unique Visitors]]</f>
        <v>9.0531054674053094E-3</v>
      </c>
      <c r="L103"/>
    </row>
    <row r="104" spans="1:12" x14ac:dyDescent="0.2">
      <c r="A104" s="2" t="s">
        <v>11</v>
      </c>
      <c r="B104" s="2" t="s">
        <v>48</v>
      </c>
      <c r="C104" s="2" t="s">
        <v>61</v>
      </c>
      <c r="D104" s="2" t="s">
        <v>73</v>
      </c>
      <c r="E104" s="2" t="s">
        <v>75</v>
      </c>
      <c r="F104" s="2" t="s">
        <v>77</v>
      </c>
      <c r="G104" s="2">
        <v>2025</v>
      </c>
      <c r="H104" s="3">
        <v>60566</v>
      </c>
      <c r="I104" s="3">
        <v>3454140.7233121018</v>
      </c>
      <c r="J104" s="4">
        <f>Table13[[#This Row],[Unique Visitors]]/Table13[[#This Row],[Sales]]</f>
        <v>57.031019438498525</v>
      </c>
      <c r="K104" s="5">
        <f>Table13[[#This Row],[Sales]]/Table13[[#This Row],[Unique Visitors]]</f>
        <v>1.7534317461717238E-2</v>
      </c>
      <c r="L104"/>
    </row>
    <row r="105" spans="1:12" x14ac:dyDescent="0.2">
      <c r="A105" s="2" t="s">
        <v>63</v>
      </c>
      <c r="B105" s="2" t="s">
        <v>32</v>
      </c>
      <c r="C105" s="2" t="s">
        <v>68</v>
      </c>
      <c r="D105" s="2" t="s">
        <v>73</v>
      </c>
      <c r="E105" s="2" t="s">
        <v>75</v>
      </c>
      <c r="F105" s="2" t="s">
        <v>77</v>
      </c>
      <c r="G105" s="2">
        <v>2025</v>
      </c>
      <c r="H105" s="3">
        <v>60391</v>
      </c>
      <c r="I105" s="3">
        <v>4977773.2388085825</v>
      </c>
      <c r="J105" s="4">
        <f>Table13[[#This Row],[Unique Visitors]]/Table13[[#This Row],[Sales]]</f>
        <v>82.42574620073492</v>
      </c>
      <c r="K105" s="5">
        <f>Table13[[#This Row],[Sales]]/Table13[[#This Row],[Unique Visitors]]</f>
        <v>1.2132131598355902E-2</v>
      </c>
      <c r="L105"/>
    </row>
    <row r="106" spans="1:12" x14ac:dyDescent="0.2">
      <c r="A106" s="2" t="s">
        <v>65</v>
      </c>
      <c r="B106" s="2" t="s">
        <v>32</v>
      </c>
      <c r="C106" s="2" t="s">
        <v>68</v>
      </c>
      <c r="D106" s="2" t="s">
        <v>73</v>
      </c>
      <c r="E106" s="2" t="s">
        <v>75</v>
      </c>
      <c r="F106" s="2" t="s">
        <v>77</v>
      </c>
      <c r="G106" s="2">
        <v>2024</v>
      </c>
      <c r="H106" s="3">
        <v>59915</v>
      </c>
      <c r="I106" s="3">
        <v>5051917.5166935679</v>
      </c>
      <c r="J106" s="4">
        <f>Table13[[#This Row],[Unique Visitors]]/Table13[[#This Row],[Sales]]</f>
        <v>84.31807588573092</v>
      </c>
      <c r="K106" s="5">
        <f>Table13[[#This Row],[Sales]]/Table13[[#This Row],[Unique Visitors]]</f>
        <v>1.1859853174961138E-2</v>
      </c>
      <c r="L106"/>
    </row>
    <row r="107" spans="1:12" x14ac:dyDescent="0.2">
      <c r="A107" s="2" t="s">
        <v>63</v>
      </c>
      <c r="B107" s="2" t="s">
        <v>48</v>
      </c>
      <c r="C107" s="2" t="s">
        <v>61</v>
      </c>
      <c r="D107" s="2" t="s">
        <v>73</v>
      </c>
      <c r="E107" s="2" t="s">
        <v>75</v>
      </c>
      <c r="F107" s="2" t="s">
        <v>77</v>
      </c>
      <c r="G107" s="2">
        <v>2025</v>
      </c>
      <c r="H107" s="3">
        <v>59446</v>
      </c>
      <c r="I107" s="3">
        <v>4866577.0660825437</v>
      </c>
      <c r="J107" s="4">
        <f>Table13[[#This Row],[Unique Visitors]]/Table13[[#This Row],[Sales]]</f>
        <v>81.865509303948855</v>
      </c>
      <c r="K107" s="5">
        <f>Table13[[#This Row],[Sales]]/Table13[[#This Row],[Unique Visitors]]</f>
        <v>1.221515640105795E-2</v>
      </c>
      <c r="L107"/>
    </row>
    <row r="108" spans="1:12" x14ac:dyDescent="0.2">
      <c r="A108" s="2" t="s">
        <v>63</v>
      </c>
      <c r="B108" s="2" t="s">
        <v>57</v>
      </c>
      <c r="C108" s="2" t="s">
        <v>70</v>
      </c>
      <c r="D108" s="2" t="s">
        <v>72</v>
      </c>
      <c r="E108" s="2" t="s">
        <v>75</v>
      </c>
      <c r="F108" s="2" t="s">
        <v>77</v>
      </c>
      <c r="G108" s="2">
        <v>2025</v>
      </c>
      <c r="H108" s="3">
        <v>59380</v>
      </c>
      <c r="I108" s="3">
        <v>3314219.6267389394</v>
      </c>
      <c r="J108" s="4">
        <f>Table13[[#This Row],[Unique Visitors]]/Table13[[#This Row],[Sales]]</f>
        <v>55.813735714700897</v>
      </c>
      <c r="K108" s="5">
        <f>Table13[[#This Row],[Sales]]/Table13[[#This Row],[Unique Visitors]]</f>
        <v>1.7916736573800197E-2</v>
      </c>
      <c r="L108"/>
    </row>
    <row r="109" spans="1:12" x14ac:dyDescent="0.2">
      <c r="A109" s="2" t="s">
        <v>11</v>
      </c>
      <c r="B109" s="2" t="s">
        <v>48</v>
      </c>
      <c r="C109" s="2" t="s">
        <v>61</v>
      </c>
      <c r="D109" s="2" t="s">
        <v>73</v>
      </c>
      <c r="E109" s="2" t="s">
        <v>75</v>
      </c>
      <c r="F109" s="2" t="s">
        <v>77</v>
      </c>
      <c r="G109" s="2">
        <v>2024</v>
      </c>
      <c r="H109" s="3">
        <v>58345</v>
      </c>
      <c r="I109" s="3">
        <v>3182883.5472782049</v>
      </c>
      <c r="J109" s="4">
        <f>Table13[[#This Row],[Unique Visitors]]/Table13[[#This Row],[Sales]]</f>
        <v>54.552807391862281</v>
      </c>
      <c r="K109" s="5">
        <f>Table13[[#This Row],[Sales]]/Table13[[#This Row],[Unique Visitors]]</f>
        <v>1.8330862293059025E-2</v>
      </c>
      <c r="L109"/>
    </row>
    <row r="110" spans="1:12" x14ac:dyDescent="0.2">
      <c r="A110" s="2" t="s">
        <v>63</v>
      </c>
      <c r="B110" s="2" t="s">
        <v>45</v>
      </c>
      <c r="C110" s="2" t="s">
        <v>61</v>
      </c>
      <c r="D110" s="2" t="s">
        <v>73</v>
      </c>
      <c r="E110" s="2" t="s">
        <v>75</v>
      </c>
      <c r="F110" s="2" t="s">
        <v>77</v>
      </c>
      <c r="G110" s="2">
        <v>2025</v>
      </c>
      <c r="H110" s="3">
        <v>57613</v>
      </c>
      <c r="I110" s="3">
        <v>3721278.2298765806</v>
      </c>
      <c r="J110" s="4">
        <f>Table13[[#This Row],[Unique Visitors]]/Table13[[#This Row],[Sales]]</f>
        <v>64.590947006345459</v>
      </c>
      <c r="K110" s="5">
        <f>Table13[[#This Row],[Sales]]/Table13[[#This Row],[Unique Visitors]]</f>
        <v>1.5482045802823721E-2</v>
      </c>
      <c r="L110"/>
    </row>
    <row r="111" spans="1:12" x14ac:dyDescent="0.2">
      <c r="A111" s="2" t="s">
        <v>63</v>
      </c>
      <c r="B111" s="2" t="s">
        <v>22</v>
      </c>
      <c r="C111" s="2" t="s">
        <v>60</v>
      </c>
      <c r="D111" s="2" t="s">
        <v>73</v>
      </c>
      <c r="E111" s="2" t="s">
        <v>75</v>
      </c>
      <c r="F111" s="2" t="s">
        <v>77</v>
      </c>
      <c r="G111" s="2">
        <v>2024</v>
      </c>
      <c r="H111" s="3">
        <v>57561</v>
      </c>
      <c r="I111" s="3">
        <v>1878373.6148707704</v>
      </c>
      <c r="J111" s="4">
        <f>Table13[[#This Row],[Unique Visitors]]/Table13[[#This Row],[Sales]]</f>
        <v>32.632748125827739</v>
      </c>
      <c r="K111" s="5">
        <f>Table13[[#This Row],[Sales]]/Table13[[#This Row],[Unique Visitors]]</f>
        <v>3.0644063323877195E-2</v>
      </c>
      <c r="L111"/>
    </row>
    <row r="112" spans="1:12" x14ac:dyDescent="0.2">
      <c r="A112" s="2" t="s">
        <v>65</v>
      </c>
      <c r="B112" s="2" t="s">
        <v>45</v>
      </c>
      <c r="C112" s="2" t="s">
        <v>61</v>
      </c>
      <c r="D112" s="2" t="s">
        <v>73</v>
      </c>
      <c r="E112" s="2" t="s">
        <v>75</v>
      </c>
      <c r="F112" s="2" t="s">
        <v>77</v>
      </c>
      <c r="G112" s="2">
        <v>2025</v>
      </c>
      <c r="H112" s="3">
        <v>57142</v>
      </c>
      <c r="I112" s="3">
        <v>3273598.1464097537</v>
      </c>
      <c r="J112" s="4">
        <f>Table13[[#This Row],[Unique Visitors]]/Table13[[#This Row],[Sales]]</f>
        <v>57.288826894574107</v>
      </c>
      <c r="K112" s="5">
        <f>Table13[[#This Row],[Sales]]/Table13[[#This Row],[Unique Visitors]]</f>
        <v>1.7455410665682722E-2</v>
      </c>
      <c r="L112"/>
    </row>
    <row r="113" spans="1:12" x14ac:dyDescent="0.2">
      <c r="A113" s="2" t="s">
        <v>11</v>
      </c>
      <c r="B113" s="2" t="s">
        <v>34</v>
      </c>
      <c r="C113" s="2" t="s">
        <v>62</v>
      </c>
      <c r="D113" s="2" t="s">
        <v>72</v>
      </c>
      <c r="E113" s="2" t="s">
        <v>75</v>
      </c>
      <c r="F113" s="2" t="s">
        <v>77</v>
      </c>
      <c r="G113" s="2">
        <v>2025</v>
      </c>
      <c r="H113" s="3">
        <v>56814</v>
      </c>
      <c r="I113" s="3">
        <v>3541827.4989423789</v>
      </c>
      <c r="J113" s="4">
        <f>Table13[[#This Row],[Unique Visitors]]/Table13[[#This Row],[Sales]]</f>
        <v>62.340752260752261</v>
      </c>
      <c r="K113" s="5">
        <f>Table13[[#This Row],[Sales]]/Table13[[#This Row],[Unique Visitors]]</f>
        <v>1.6040871560505182E-2</v>
      </c>
      <c r="L113"/>
    </row>
    <row r="114" spans="1:12" x14ac:dyDescent="0.2">
      <c r="A114" s="2" t="s">
        <v>60</v>
      </c>
      <c r="B114" s="2" t="s">
        <v>17</v>
      </c>
      <c r="C114" s="2" t="s">
        <v>61</v>
      </c>
      <c r="D114" s="2" t="s">
        <v>73</v>
      </c>
      <c r="E114" s="2" t="s">
        <v>75</v>
      </c>
      <c r="F114" s="2" t="s">
        <v>77</v>
      </c>
      <c r="G114" s="2">
        <v>2024</v>
      </c>
      <c r="H114" s="3">
        <v>56635</v>
      </c>
      <c r="I114" s="3">
        <v>3790235.7287941491</v>
      </c>
      <c r="J114" s="4">
        <f>Table13[[#This Row],[Unique Visitors]]/Table13[[#This Row],[Sales]]</f>
        <v>66.923911517509481</v>
      </c>
      <c r="K114" s="5">
        <f>Table13[[#This Row],[Sales]]/Table13[[#This Row],[Unique Visitors]]</f>
        <v>1.4942342390408059E-2</v>
      </c>
      <c r="L114"/>
    </row>
    <row r="115" spans="1:12" x14ac:dyDescent="0.2">
      <c r="A115" s="2" t="s">
        <v>60</v>
      </c>
      <c r="B115" s="2" t="s">
        <v>17</v>
      </c>
      <c r="C115" s="2" t="s">
        <v>61</v>
      </c>
      <c r="D115" s="2" t="s">
        <v>73</v>
      </c>
      <c r="E115" s="2" t="s">
        <v>75</v>
      </c>
      <c r="F115" s="2" t="s">
        <v>77</v>
      </c>
      <c r="G115" s="2">
        <v>2025</v>
      </c>
      <c r="H115" s="3">
        <v>54890</v>
      </c>
      <c r="I115" s="3">
        <v>2824324.7030294286</v>
      </c>
      <c r="J115" s="4">
        <f>Table13[[#This Row],[Unique Visitors]]/Table13[[#This Row],[Sales]]</f>
        <v>51.454266770439581</v>
      </c>
      <c r="K115" s="5">
        <f>Table13[[#This Row],[Sales]]/Table13[[#This Row],[Unique Visitors]]</f>
        <v>1.9434734236160545E-2</v>
      </c>
      <c r="L115"/>
    </row>
    <row r="116" spans="1:12" x14ac:dyDescent="0.2">
      <c r="A116" s="2" t="s">
        <v>65</v>
      </c>
      <c r="B116" s="2" t="s">
        <v>19</v>
      </c>
      <c r="C116" s="2" t="s">
        <v>66</v>
      </c>
      <c r="D116" s="2" t="s">
        <v>73</v>
      </c>
      <c r="E116" s="2" t="s">
        <v>75</v>
      </c>
      <c r="F116" s="2" t="s">
        <v>77</v>
      </c>
      <c r="G116" s="2">
        <v>2024</v>
      </c>
      <c r="H116" s="3">
        <v>54777</v>
      </c>
      <c r="I116" s="3">
        <v>4099709.9999547247</v>
      </c>
      <c r="J116" s="4">
        <f>Table13[[#This Row],[Unique Visitors]]/Table13[[#This Row],[Sales]]</f>
        <v>74.843638752664887</v>
      </c>
      <c r="K116" s="5">
        <f>Table13[[#This Row],[Sales]]/Table13[[#This Row],[Unique Visitors]]</f>
        <v>1.3361188962293657E-2</v>
      </c>
      <c r="L116"/>
    </row>
    <row r="117" spans="1:12" x14ac:dyDescent="0.2">
      <c r="A117" s="2" t="s">
        <v>63</v>
      </c>
      <c r="B117" s="2" t="s">
        <v>48</v>
      </c>
      <c r="C117" s="2" t="s">
        <v>61</v>
      </c>
      <c r="D117" s="2" t="s">
        <v>73</v>
      </c>
      <c r="E117" s="2" t="s">
        <v>75</v>
      </c>
      <c r="F117" s="2" t="s">
        <v>77</v>
      </c>
      <c r="G117" s="2">
        <v>2024</v>
      </c>
      <c r="H117" s="3">
        <v>54349</v>
      </c>
      <c r="I117" s="3">
        <v>4821868.0052292543</v>
      </c>
      <c r="J117" s="4">
        <f>Table13[[#This Row],[Unique Visitors]]/Table13[[#This Row],[Sales]]</f>
        <v>88.720454934391697</v>
      </c>
      <c r="K117" s="5">
        <f>Table13[[#This Row],[Sales]]/Table13[[#This Row],[Unique Visitors]]</f>
        <v>1.12713578930529E-2</v>
      </c>
      <c r="L117"/>
    </row>
    <row r="118" spans="1:12" x14ac:dyDescent="0.2">
      <c r="A118" s="2" t="s">
        <v>63</v>
      </c>
      <c r="B118" s="2" t="s">
        <v>22</v>
      </c>
      <c r="C118" s="2" t="s">
        <v>60</v>
      </c>
      <c r="D118" s="2" t="s">
        <v>73</v>
      </c>
      <c r="E118" s="2" t="s">
        <v>75</v>
      </c>
      <c r="F118" s="2" t="s">
        <v>77</v>
      </c>
      <c r="G118" s="2">
        <v>2025</v>
      </c>
      <c r="H118" s="3">
        <v>54243</v>
      </c>
      <c r="I118" s="3">
        <v>1954973.9385964163</v>
      </c>
      <c r="J118" s="4">
        <f>Table13[[#This Row],[Unique Visitors]]/Table13[[#This Row],[Sales]]</f>
        <v>36.041036421223318</v>
      </c>
      <c r="K118" s="5">
        <f>Table13[[#This Row],[Sales]]/Table13[[#This Row],[Unique Visitors]]</f>
        <v>2.7746149925120762E-2</v>
      </c>
      <c r="L118"/>
    </row>
    <row r="119" spans="1:12" x14ac:dyDescent="0.2">
      <c r="A119" s="2" t="s">
        <v>60</v>
      </c>
      <c r="B119" s="2" t="s">
        <v>40</v>
      </c>
      <c r="C119" s="2" t="s">
        <v>63</v>
      </c>
      <c r="D119" s="2" t="s">
        <v>72</v>
      </c>
      <c r="E119" s="2" t="s">
        <v>75</v>
      </c>
      <c r="F119" s="2" t="s">
        <v>77</v>
      </c>
      <c r="G119" s="2">
        <v>2025</v>
      </c>
      <c r="H119" s="3">
        <v>54146</v>
      </c>
      <c r="I119" s="3">
        <v>4030916.6780829886</v>
      </c>
      <c r="J119" s="4">
        <f>Table13[[#This Row],[Unique Visitors]]/Table13[[#This Row],[Sales]]</f>
        <v>74.445327043234741</v>
      </c>
      <c r="K119" s="5">
        <f>Table13[[#This Row],[Sales]]/Table13[[#This Row],[Unique Visitors]]</f>
        <v>1.3432676565706288E-2</v>
      </c>
      <c r="L119"/>
    </row>
    <row r="120" spans="1:12" x14ac:dyDescent="0.2">
      <c r="A120" s="2" t="s">
        <v>63</v>
      </c>
      <c r="B120" s="2" t="s">
        <v>17</v>
      </c>
      <c r="C120" s="2" t="s">
        <v>61</v>
      </c>
      <c r="D120" s="2" t="s">
        <v>73</v>
      </c>
      <c r="E120" s="2" t="s">
        <v>75</v>
      </c>
      <c r="F120" s="2" t="s">
        <v>77</v>
      </c>
      <c r="G120" s="2">
        <v>2024</v>
      </c>
      <c r="H120" s="3">
        <v>53025</v>
      </c>
      <c r="I120" s="3">
        <v>1740339.5409565433</v>
      </c>
      <c r="J120" s="4">
        <f>Table13[[#This Row],[Unique Visitors]]/Table13[[#This Row],[Sales]]</f>
        <v>32.821113455097468</v>
      </c>
      <c r="K120" s="5">
        <f>Table13[[#This Row],[Sales]]/Table13[[#This Row],[Unique Visitors]]</f>
        <v>3.0468192414254896E-2</v>
      </c>
      <c r="L120"/>
    </row>
    <row r="121" spans="1:12" x14ac:dyDescent="0.2">
      <c r="A121" s="2" t="s">
        <v>60</v>
      </c>
      <c r="B121" s="2" t="s">
        <v>40</v>
      </c>
      <c r="C121" s="2" t="s">
        <v>63</v>
      </c>
      <c r="D121" s="2" t="s">
        <v>72</v>
      </c>
      <c r="E121" s="2" t="s">
        <v>75</v>
      </c>
      <c r="F121" s="2" t="s">
        <v>77</v>
      </c>
      <c r="G121" s="2">
        <v>2024</v>
      </c>
      <c r="H121" s="3">
        <v>52483</v>
      </c>
      <c r="I121" s="3">
        <v>4417061.1415598486</v>
      </c>
      <c r="J121" s="4">
        <f>Table13[[#This Row],[Unique Visitors]]/Table13[[#This Row],[Sales]]</f>
        <v>84.161750310764404</v>
      </c>
      <c r="K121" s="5">
        <f>Table13[[#This Row],[Sales]]/Table13[[#This Row],[Unique Visitors]]</f>
        <v>1.1881882165087274E-2</v>
      </c>
      <c r="L121"/>
    </row>
    <row r="122" spans="1:12" x14ac:dyDescent="0.2">
      <c r="A122" s="2" t="s">
        <v>65</v>
      </c>
      <c r="B122" s="2" t="s">
        <v>45</v>
      </c>
      <c r="C122" s="2" t="s">
        <v>61</v>
      </c>
      <c r="D122" s="2" t="s">
        <v>73</v>
      </c>
      <c r="E122" s="2" t="s">
        <v>75</v>
      </c>
      <c r="F122" s="2" t="s">
        <v>77</v>
      </c>
      <c r="G122" s="2">
        <v>2024</v>
      </c>
      <c r="H122" s="3">
        <v>51767</v>
      </c>
      <c r="I122" s="3">
        <v>3183860.8816657825</v>
      </c>
      <c r="J122" s="4">
        <f>Table13[[#This Row],[Unique Visitors]]/Table13[[#This Row],[Sales]]</f>
        <v>61.503677664647022</v>
      </c>
      <c r="K122" s="5">
        <f>Table13[[#This Row],[Sales]]/Table13[[#This Row],[Unique Visitors]]</f>
        <v>1.6259190311391912E-2</v>
      </c>
      <c r="L122"/>
    </row>
    <row r="123" spans="1:12" x14ac:dyDescent="0.2">
      <c r="A123" s="2" t="s">
        <v>61</v>
      </c>
      <c r="B123" s="2" t="s">
        <v>40</v>
      </c>
      <c r="C123" s="2" t="s">
        <v>63</v>
      </c>
      <c r="D123" s="2" t="s">
        <v>72</v>
      </c>
      <c r="E123" s="2" t="s">
        <v>75</v>
      </c>
      <c r="F123" s="2" t="s">
        <v>77</v>
      </c>
      <c r="G123" s="2">
        <v>2024</v>
      </c>
      <c r="H123" s="3">
        <v>51267</v>
      </c>
      <c r="I123" s="3">
        <v>4278275.845003156</v>
      </c>
      <c r="J123" s="4">
        <f>Table13[[#This Row],[Unique Visitors]]/Table13[[#This Row],[Sales]]</f>
        <v>83.450871808437313</v>
      </c>
      <c r="K123" s="5">
        <f>Table13[[#This Row],[Sales]]/Table13[[#This Row],[Unique Visitors]]</f>
        <v>1.1983098298787272E-2</v>
      </c>
      <c r="L123"/>
    </row>
    <row r="124" spans="1:12" x14ac:dyDescent="0.2">
      <c r="A124" s="2" t="s">
        <v>65</v>
      </c>
      <c r="B124" s="2" t="s">
        <v>40</v>
      </c>
      <c r="C124" s="2" t="s">
        <v>63</v>
      </c>
      <c r="D124" s="2" t="s">
        <v>72</v>
      </c>
      <c r="E124" s="2" t="s">
        <v>75</v>
      </c>
      <c r="F124" s="2" t="s">
        <v>77</v>
      </c>
      <c r="G124" s="2">
        <v>2025</v>
      </c>
      <c r="H124" s="3">
        <v>50721</v>
      </c>
      <c r="I124" s="3">
        <v>3876645.9561445131</v>
      </c>
      <c r="J124" s="4">
        <f>Table13[[#This Row],[Unique Visitors]]/Table13[[#This Row],[Sales]]</f>
        <v>76.43078717187187</v>
      </c>
      <c r="K124" s="5">
        <f>Table13[[#This Row],[Sales]]/Table13[[#This Row],[Unique Visitors]]</f>
        <v>1.3083732838591265E-2</v>
      </c>
      <c r="L124"/>
    </row>
    <row r="125" spans="1:12" x14ac:dyDescent="0.2">
      <c r="A125" s="2" t="s">
        <v>61</v>
      </c>
      <c r="B125" s="2" t="s">
        <v>50</v>
      </c>
      <c r="C125" s="2" t="s">
        <v>71</v>
      </c>
      <c r="D125" s="2" t="s">
        <v>73</v>
      </c>
      <c r="E125" s="2" t="s">
        <v>75</v>
      </c>
      <c r="F125" s="2" t="s">
        <v>77</v>
      </c>
      <c r="G125" s="2">
        <v>2025</v>
      </c>
      <c r="H125" s="3">
        <v>50660</v>
      </c>
      <c r="I125" s="2">
        <v>6087000</v>
      </c>
      <c r="J125" s="4">
        <f>Table13[[#This Row],[Unique Visitors]]/Table13[[#This Row],[Sales]]</f>
        <v>120.15396762731939</v>
      </c>
      <c r="K125" s="5">
        <f>Table13[[#This Row],[Sales]]/Table13[[#This Row],[Unique Visitors]]</f>
        <v>8.3226548381797275E-3</v>
      </c>
      <c r="L125"/>
    </row>
    <row r="126" spans="1:12" x14ac:dyDescent="0.2">
      <c r="A126" s="2" t="s">
        <v>11</v>
      </c>
      <c r="B126" s="2" t="s">
        <v>54</v>
      </c>
      <c r="C126" s="2" t="s">
        <v>67</v>
      </c>
      <c r="D126" s="2" t="s">
        <v>72</v>
      </c>
      <c r="E126" s="2" t="s">
        <v>76</v>
      </c>
      <c r="F126" s="2" t="s">
        <v>78</v>
      </c>
      <c r="G126" s="2">
        <v>2024</v>
      </c>
      <c r="H126" s="3">
        <v>50334</v>
      </c>
      <c r="I126" s="3">
        <v>4795297.4558788473</v>
      </c>
      <c r="J126" s="4">
        <f>Table13[[#This Row],[Unique Visitors]]/Table13[[#This Row],[Sales]]</f>
        <v>95.269548533374007</v>
      </c>
      <c r="K126" s="5">
        <f>Table13[[#This Row],[Sales]]/Table13[[#This Row],[Unique Visitors]]</f>
        <v>1.049653341906715E-2</v>
      </c>
      <c r="L126"/>
    </row>
    <row r="127" spans="1:12" x14ac:dyDescent="0.2">
      <c r="A127" s="2" t="s">
        <v>60</v>
      </c>
      <c r="B127" s="2" t="s">
        <v>41</v>
      </c>
      <c r="C127" s="2" t="s">
        <v>64</v>
      </c>
      <c r="D127" s="2" t="s">
        <v>73</v>
      </c>
      <c r="E127" s="2" t="s">
        <v>75</v>
      </c>
      <c r="F127" s="2" t="s">
        <v>78</v>
      </c>
      <c r="G127" s="2">
        <v>2025</v>
      </c>
      <c r="H127" s="3">
        <v>49904</v>
      </c>
      <c r="I127" s="3">
        <v>2277998.2306479593</v>
      </c>
      <c r="J127" s="4">
        <f>Table13[[#This Row],[Unique Visitors]]/Table13[[#This Row],[Sales]]</f>
        <v>45.647608020358277</v>
      </c>
      <c r="K127" s="5">
        <f>Table13[[#This Row],[Sales]]/Table13[[#This Row],[Unique Visitors]]</f>
        <v>2.1906952924105296E-2</v>
      </c>
      <c r="L127"/>
    </row>
    <row r="128" spans="1:12" x14ac:dyDescent="0.2">
      <c r="A128" s="2" t="s">
        <v>60</v>
      </c>
      <c r="B128" s="2" t="s">
        <v>27</v>
      </c>
      <c r="C128" s="2" t="s">
        <v>68</v>
      </c>
      <c r="D128" s="2" t="s">
        <v>73</v>
      </c>
      <c r="E128" s="2" t="s">
        <v>75</v>
      </c>
      <c r="F128" s="2" t="s">
        <v>77</v>
      </c>
      <c r="G128" s="2">
        <v>2024</v>
      </c>
      <c r="H128" s="3">
        <v>49469</v>
      </c>
      <c r="I128" s="3">
        <v>5104462.1824078886</v>
      </c>
      <c r="J128" s="4">
        <f>Table13[[#This Row],[Unique Visitors]]/Table13[[#This Row],[Sales]]</f>
        <v>103.18506908180656</v>
      </c>
      <c r="K128" s="5">
        <f>Table13[[#This Row],[Sales]]/Table13[[#This Row],[Unique Visitors]]</f>
        <v>9.691324616037094E-3</v>
      </c>
      <c r="L128"/>
    </row>
    <row r="129" spans="1:12" x14ac:dyDescent="0.2">
      <c r="A129" s="2" t="s">
        <v>63</v>
      </c>
      <c r="B129" s="2" t="s">
        <v>17</v>
      </c>
      <c r="C129" s="2" t="s">
        <v>61</v>
      </c>
      <c r="D129" s="2" t="s">
        <v>73</v>
      </c>
      <c r="E129" s="2" t="s">
        <v>75</v>
      </c>
      <c r="F129" s="2" t="s">
        <v>77</v>
      </c>
      <c r="G129" s="2">
        <v>2025</v>
      </c>
      <c r="H129" s="3">
        <v>48854</v>
      </c>
      <c r="I129" s="3">
        <v>1873766.0188380203</v>
      </c>
      <c r="J129" s="4">
        <f>Table13[[#This Row],[Unique Visitors]]/Table13[[#This Row],[Sales]]</f>
        <v>38.354403300405707</v>
      </c>
      <c r="K129" s="5">
        <f>Table13[[#This Row],[Sales]]/Table13[[#This Row],[Unique Visitors]]</f>
        <v>2.6072625668756583E-2</v>
      </c>
      <c r="L129"/>
    </row>
    <row r="130" spans="1:12" x14ac:dyDescent="0.2">
      <c r="A130" s="2" t="s">
        <v>61</v>
      </c>
      <c r="B130" s="2" t="s">
        <v>14</v>
      </c>
      <c r="C130" s="2" t="s">
        <v>63</v>
      </c>
      <c r="D130" s="2" t="s">
        <v>72</v>
      </c>
      <c r="E130" s="2" t="s">
        <v>75</v>
      </c>
      <c r="F130" s="2" t="s">
        <v>77</v>
      </c>
      <c r="G130" s="2">
        <v>2025</v>
      </c>
      <c r="H130" s="3">
        <v>48756</v>
      </c>
      <c r="I130" s="3">
        <v>4406553.6051536789</v>
      </c>
      <c r="J130" s="4">
        <f>Table13[[#This Row],[Unique Visitors]]/Table13[[#This Row],[Sales]]</f>
        <v>90.379719524851893</v>
      </c>
      <c r="K130" s="5">
        <f>Table13[[#This Row],[Sales]]/Table13[[#This Row],[Unique Visitors]]</f>
        <v>1.1064429113713149E-2</v>
      </c>
      <c r="L130"/>
    </row>
    <row r="131" spans="1:12" x14ac:dyDescent="0.2">
      <c r="A131" s="2" t="s">
        <v>61</v>
      </c>
      <c r="B131" s="2" t="s">
        <v>14</v>
      </c>
      <c r="C131" s="2" t="s">
        <v>63</v>
      </c>
      <c r="D131" s="2" t="s">
        <v>72</v>
      </c>
      <c r="E131" s="2" t="s">
        <v>75</v>
      </c>
      <c r="F131" s="2" t="s">
        <v>77</v>
      </c>
      <c r="G131" s="2">
        <v>2024</v>
      </c>
      <c r="H131" s="3">
        <v>47917</v>
      </c>
      <c r="I131" s="3">
        <v>3938855.2045846209</v>
      </c>
      <c r="J131" s="4">
        <f>Table13[[#This Row],[Unique Visitors]]/Table13[[#This Row],[Sales]]</f>
        <v>82.201623736557394</v>
      </c>
      <c r="K131" s="5">
        <f>Table13[[#This Row],[Sales]]/Table13[[#This Row],[Unique Visitors]]</f>
        <v>1.2165209816351493E-2</v>
      </c>
      <c r="L131"/>
    </row>
    <row r="132" spans="1:12" x14ac:dyDescent="0.2">
      <c r="A132" s="2" t="s">
        <v>60</v>
      </c>
      <c r="B132" s="2" t="s">
        <v>32</v>
      </c>
      <c r="C132" s="2" t="s">
        <v>68</v>
      </c>
      <c r="D132" s="2" t="s">
        <v>73</v>
      </c>
      <c r="E132" s="2" t="s">
        <v>75</v>
      </c>
      <c r="F132" s="2" t="s">
        <v>77</v>
      </c>
      <c r="G132" s="2">
        <v>2024</v>
      </c>
      <c r="H132" s="3">
        <v>47786</v>
      </c>
      <c r="I132" s="3">
        <v>3499499.7209807197</v>
      </c>
      <c r="J132" s="4">
        <f>Table13[[#This Row],[Unique Visitors]]/Table13[[#This Row],[Sales]]</f>
        <v>73.232740153616533</v>
      </c>
      <c r="K132" s="5">
        <f>Table13[[#This Row],[Sales]]/Table13[[#This Row],[Unique Visitors]]</f>
        <v>1.3655094673534702E-2</v>
      </c>
      <c r="L132"/>
    </row>
    <row r="133" spans="1:12" x14ac:dyDescent="0.2">
      <c r="A133" s="2" t="s">
        <v>65</v>
      </c>
      <c r="B133" s="2" t="s">
        <v>40</v>
      </c>
      <c r="C133" s="2" t="s">
        <v>63</v>
      </c>
      <c r="D133" s="2" t="s">
        <v>72</v>
      </c>
      <c r="E133" s="2" t="s">
        <v>75</v>
      </c>
      <c r="F133" s="2" t="s">
        <v>77</v>
      </c>
      <c r="G133" s="2">
        <v>2024</v>
      </c>
      <c r="H133" s="3">
        <v>47120</v>
      </c>
      <c r="I133" s="3">
        <v>3990015.7946994975</v>
      </c>
      <c r="J133" s="4">
        <f>Table13[[#This Row],[Unique Visitors]]/Table13[[#This Row],[Sales]]</f>
        <v>84.677754556440945</v>
      </c>
      <c r="K133" s="5">
        <f>Table13[[#This Row],[Sales]]/Table13[[#This Row],[Unique Visitors]]</f>
        <v>1.1809477060866817E-2</v>
      </c>
      <c r="L133"/>
    </row>
    <row r="134" spans="1:12" x14ac:dyDescent="0.2">
      <c r="A134" s="2" t="s">
        <v>11</v>
      </c>
      <c r="B134" s="2" t="s">
        <v>42</v>
      </c>
      <c r="C134" s="2" t="s">
        <v>62</v>
      </c>
      <c r="D134" s="2" t="s">
        <v>73</v>
      </c>
      <c r="E134" s="2" t="s">
        <v>75</v>
      </c>
      <c r="F134" s="2" t="s">
        <v>77</v>
      </c>
      <c r="G134" s="2">
        <v>2024</v>
      </c>
      <c r="H134" s="3">
        <v>46975</v>
      </c>
      <c r="I134" s="3">
        <v>2443546.4292802578</v>
      </c>
      <c r="J134" s="4">
        <f>Table13[[#This Row],[Unique Visitors]]/Table13[[#This Row],[Sales]]</f>
        <v>52.018018718046996</v>
      </c>
      <c r="K134" s="5">
        <f>Table13[[#This Row],[Sales]]/Table13[[#This Row],[Unique Visitors]]</f>
        <v>1.9224107811954449E-2</v>
      </c>
      <c r="L134"/>
    </row>
    <row r="135" spans="1:12" x14ac:dyDescent="0.2">
      <c r="A135" s="2" t="s">
        <v>60</v>
      </c>
      <c r="B135" s="2" t="s">
        <v>27</v>
      </c>
      <c r="C135" s="2" t="s">
        <v>68</v>
      </c>
      <c r="D135" s="2" t="s">
        <v>73</v>
      </c>
      <c r="E135" s="2" t="s">
        <v>75</v>
      </c>
      <c r="F135" s="2" t="s">
        <v>77</v>
      </c>
      <c r="G135" s="2">
        <v>2025</v>
      </c>
      <c r="H135" s="3">
        <v>46720</v>
      </c>
      <c r="I135" s="3">
        <v>6081636.1188551141</v>
      </c>
      <c r="J135" s="4">
        <f>Table13[[#This Row],[Unique Visitors]]/Table13[[#This Row],[Sales]]</f>
        <v>130.17200596864541</v>
      </c>
      <c r="K135" s="5">
        <f>Table13[[#This Row],[Sales]]/Table13[[#This Row],[Unique Visitors]]</f>
        <v>7.6821432731156523E-3</v>
      </c>
      <c r="L135"/>
    </row>
    <row r="136" spans="1:12" x14ac:dyDescent="0.2">
      <c r="A136" s="2" t="s">
        <v>65</v>
      </c>
      <c r="B136" s="2" t="s">
        <v>15</v>
      </c>
      <c r="C136" s="2" t="s">
        <v>63</v>
      </c>
      <c r="D136" s="2" t="s">
        <v>72</v>
      </c>
      <c r="E136" s="2" t="s">
        <v>75</v>
      </c>
      <c r="F136" s="2" t="s">
        <v>77</v>
      </c>
      <c r="G136" s="2">
        <v>2025</v>
      </c>
      <c r="H136" s="3">
        <v>45867</v>
      </c>
      <c r="I136" s="3">
        <v>4052057.6330403332</v>
      </c>
      <c r="J136" s="4">
        <f>Table13[[#This Row],[Unique Visitors]]/Table13[[#This Row],[Sales]]</f>
        <v>88.343637757872401</v>
      </c>
      <c r="K136" s="5">
        <f>Table13[[#This Row],[Sales]]/Table13[[#This Row],[Unique Visitors]]</f>
        <v>1.1319434261250906E-2</v>
      </c>
      <c r="L136"/>
    </row>
    <row r="137" spans="1:12" x14ac:dyDescent="0.2">
      <c r="A137" s="2" t="s">
        <v>61</v>
      </c>
      <c r="B137" s="2" t="s">
        <v>27</v>
      </c>
      <c r="C137" s="2" t="s">
        <v>68</v>
      </c>
      <c r="D137" s="2" t="s">
        <v>73</v>
      </c>
      <c r="E137" s="2" t="s">
        <v>75</v>
      </c>
      <c r="F137" s="2" t="s">
        <v>77</v>
      </c>
      <c r="G137" s="2">
        <v>2025</v>
      </c>
      <c r="H137" s="3">
        <v>45621</v>
      </c>
      <c r="I137" s="3">
        <v>3886612.7935038181</v>
      </c>
      <c r="J137" s="4">
        <f>Table13[[#This Row],[Unique Visitors]]/Table13[[#This Row],[Sales]]</f>
        <v>85.193502849648581</v>
      </c>
      <c r="K137" s="5">
        <f>Table13[[#This Row],[Sales]]/Table13[[#This Row],[Unique Visitors]]</f>
        <v>1.1737984312780548E-2</v>
      </c>
      <c r="L137"/>
    </row>
    <row r="138" spans="1:12" x14ac:dyDescent="0.2">
      <c r="A138" s="2" t="s">
        <v>61</v>
      </c>
      <c r="B138" s="2" t="s">
        <v>27</v>
      </c>
      <c r="C138" s="2" t="s">
        <v>68</v>
      </c>
      <c r="D138" s="2" t="s">
        <v>73</v>
      </c>
      <c r="E138" s="2" t="s">
        <v>75</v>
      </c>
      <c r="F138" s="2" t="s">
        <v>77</v>
      </c>
      <c r="G138" s="2">
        <v>2024</v>
      </c>
      <c r="H138" s="3">
        <v>45451</v>
      </c>
      <c r="I138" s="3">
        <v>3404465.4022662318</v>
      </c>
      <c r="J138" s="4">
        <f>Table13[[#This Row],[Unique Visitors]]/Table13[[#This Row],[Sales]]</f>
        <v>74.904081368203819</v>
      </c>
      <c r="K138" s="5">
        <f>Table13[[#This Row],[Sales]]/Table13[[#This Row],[Unique Visitors]]</f>
        <v>1.3350407370785699E-2</v>
      </c>
      <c r="L138"/>
    </row>
    <row r="139" spans="1:12" x14ac:dyDescent="0.2">
      <c r="A139" s="2" t="s">
        <v>63</v>
      </c>
      <c r="B139" s="2" t="s">
        <v>39</v>
      </c>
      <c r="C139" s="2" t="s">
        <v>69</v>
      </c>
      <c r="D139" s="2" t="s">
        <v>73</v>
      </c>
      <c r="E139" s="2" t="s">
        <v>75</v>
      </c>
      <c r="F139" s="2" t="s">
        <v>77</v>
      </c>
      <c r="G139" s="2">
        <v>2024</v>
      </c>
      <c r="H139" s="3">
        <v>45274</v>
      </c>
      <c r="I139" s="3">
        <v>3106065.2529418385</v>
      </c>
      <c r="J139" s="4">
        <f>Table13[[#This Row],[Unique Visitors]]/Table13[[#This Row],[Sales]]</f>
        <v>68.605938351854007</v>
      </c>
      <c r="K139" s="5">
        <f>Table13[[#This Row],[Sales]]/Table13[[#This Row],[Unique Visitors]]</f>
        <v>1.4575997705495648E-2</v>
      </c>
      <c r="L139"/>
    </row>
    <row r="140" spans="1:12" x14ac:dyDescent="0.2">
      <c r="A140" s="2" t="s">
        <v>65</v>
      </c>
      <c r="B140" s="2" t="s">
        <v>15</v>
      </c>
      <c r="C140" s="2" t="s">
        <v>63</v>
      </c>
      <c r="D140" s="2" t="s">
        <v>72</v>
      </c>
      <c r="E140" s="2" t="s">
        <v>75</v>
      </c>
      <c r="F140" s="2" t="s">
        <v>77</v>
      </c>
      <c r="G140" s="2">
        <v>2024</v>
      </c>
      <c r="H140" s="3">
        <v>45249</v>
      </c>
      <c r="I140" s="3">
        <v>4020007.3232848002</v>
      </c>
      <c r="J140" s="4">
        <f>Table13[[#This Row],[Unique Visitors]]/Table13[[#This Row],[Sales]]</f>
        <v>88.841904203071891</v>
      </c>
      <c r="K140" s="5">
        <f>Table13[[#This Row],[Sales]]/Table13[[#This Row],[Unique Visitors]]</f>
        <v>1.1255949644148024E-2</v>
      </c>
      <c r="L140"/>
    </row>
    <row r="141" spans="1:12" x14ac:dyDescent="0.2">
      <c r="A141" s="2" t="s">
        <v>65</v>
      </c>
      <c r="B141" s="2" t="s">
        <v>41</v>
      </c>
      <c r="C141" s="2" t="s">
        <v>64</v>
      </c>
      <c r="D141" s="2" t="s">
        <v>73</v>
      </c>
      <c r="E141" s="2" t="s">
        <v>75</v>
      </c>
      <c r="F141" s="2" t="s">
        <v>78</v>
      </c>
      <c r="G141" s="2">
        <v>2025</v>
      </c>
      <c r="H141" s="3">
        <v>45163</v>
      </c>
      <c r="I141" s="3">
        <v>6371000</v>
      </c>
      <c r="J141" s="4">
        <f>Table13[[#This Row],[Unique Visitors]]/Table13[[#This Row],[Sales]]</f>
        <v>141.0668024710493</v>
      </c>
      <c r="K141" s="5">
        <f>Table13[[#This Row],[Sales]]/Table13[[#This Row],[Unique Visitors]]</f>
        <v>7.0888400565060428E-3</v>
      </c>
      <c r="L141"/>
    </row>
    <row r="142" spans="1:12" x14ac:dyDescent="0.2">
      <c r="A142" s="2" t="s">
        <v>61</v>
      </c>
      <c r="B142" s="2" t="s">
        <v>40</v>
      </c>
      <c r="C142" s="2" t="s">
        <v>63</v>
      </c>
      <c r="D142" s="2" t="s">
        <v>72</v>
      </c>
      <c r="E142" s="2" t="s">
        <v>75</v>
      </c>
      <c r="F142" s="2" t="s">
        <v>77</v>
      </c>
      <c r="G142" s="2">
        <v>2025</v>
      </c>
      <c r="H142" s="3">
        <v>45155</v>
      </c>
      <c r="I142" s="3">
        <v>4595604.1494264631</v>
      </c>
      <c r="J142" s="4">
        <f>Table13[[#This Row],[Unique Visitors]]/Table13[[#This Row],[Sales]]</f>
        <v>101.77398182762624</v>
      </c>
      <c r="K142" s="5">
        <f>Table13[[#This Row],[Sales]]/Table13[[#This Row],[Unique Visitors]]</f>
        <v>9.825693974455001E-3</v>
      </c>
      <c r="L142"/>
    </row>
    <row r="143" spans="1:12" x14ac:dyDescent="0.2">
      <c r="A143" s="2" t="s">
        <v>61</v>
      </c>
      <c r="B143" s="2" t="s">
        <v>50</v>
      </c>
      <c r="C143" s="2" t="s">
        <v>71</v>
      </c>
      <c r="D143" s="2" t="s">
        <v>73</v>
      </c>
      <c r="E143" s="2" t="s">
        <v>75</v>
      </c>
      <c r="F143" s="2" t="s">
        <v>77</v>
      </c>
      <c r="G143" s="2">
        <v>2024</v>
      </c>
      <c r="H143" s="3">
        <v>44501</v>
      </c>
      <c r="I143" s="2">
        <v>5029000</v>
      </c>
      <c r="J143" s="4">
        <f>Table13[[#This Row],[Unique Visitors]]/Table13[[#This Row],[Sales]]</f>
        <v>113.008696433788</v>
      </c>
      <c r="K143" s="5">
        <f>Table13[[#This Row],[Sales]]/Table13[[#This Row],[Unique Visitors]]</f>
        <v>8.8488765162060053E-3</v>
      </c>
      <c r="L143"/>
    </row>
    <row r="144" spans="1:12" x14ac:dyDescent="0.2">
      <c r="A144" s="2" t="s">
        <v>60</v>
      </c>
      <c r="B144" s="2" t="s">
        <v>80</v>
      </c>
      <c r="C144" s="2" t="s">
        <v>62</v>
      </c>
      <c r="D144" s="2" t="s">
        <v>73</v>
      </c>
      <c r="E144" s="2" t="s">
        <v>75</v>
      </c>
      <c r="F144" s="2" t="s">
        <v>77</v>
      </c>
      <c r="G144" s="2">
        <v>2024</v>
      </c>
      <c r="H144" s="3">
        <v>44203</v>
      </c>
      <c r="I144" s="2">
        <v>3397000</v>
      </c>
      <c r="J144" s="4">
        <f>Table13[[#This Row],[Unique Visitors]]/Table13[[#This Row],[Sales]]</f>
        <v>76.849987557405612</v>
      </c>
      <c r="K144" s="5">
        <f>Table13[[#This Row],[Sales]]/Table13[[#This Row],[Unique Visitors]]</f>
        <v>1.3012363850456284E-2</v>
      </c>
      <c r="L144"/>
    </row>
    <row r="145" spans="1:12" x14ac:dyDescent="0.2">
      <c r="A145" s="2" t="s">
        <v>60</v>
      </c>
      <c r="B145" s="2" t="s">
        <v>32</v>
      </c>
      <c r="C145" s="2" t="s">
        <v>68</v>
      </c>
      <c r="D145" s="2" t="s">
        <v>73</v>
      </c>
      <c r="E145" s="2" t="s">
        <v>75</v>
      </c>
      <c r="F145" s="2" t="s">
        <v>77</v>
      </c>
      <c r="G145" s="2">
        <v>2025</v>
      </c>
      <c r="H145" s="3">
        <v>44029</v>
      </c>
      <c r="I145" s="3">
        <v>3940977.0306948847</v>
      </c>
      <c r="J145" s="4">
        <f>Table13[[#This Row],[Unique Visitors]]/Table13[[#This Row],[Sales]]</f>
        <v>89.508665440843188</v>
      </c>
      <c r="K145" s="5">
        <f>Table13[[#This Row],[Sales]]/Table13[[#This Row],[Unique Visitors]]</f>
        <v>1.1172102668214912E-2</v>
      </c>
      <c r="L145"/>
    </row>
    <row r="146" spans="1:12" x14ac:dyDescent="0.2">
      <c r="A146" s="2" t="s">
        <v>61</v>
      </c>
      <c r="B146" s="2" t="s">
        <v>32</v>
      </c>
      <c r="C146" s="2" t="s">
        <v>68</v>
      </c>
      <c r="D146" s="2" t="s">
        <v>73</v>
      </c>
      <c r="E146" s="2" t="s">
        <v>75</v>
      </c>
      <c r="F146" s="2" t="s">
        <v>77</v>
      </c>
      <c r="G146" s="2">
        <v>2024</v>
      </c>
      <c r="H146" s="3">
        <v>43861</v>
      </c>
      <c r="I146" s="3">
        <v>4035419.5026434148</v>
      </c>
      <c r="J146" s="4">
        <f>Table13[[#This Row],[Unique Visitors]]/Table13[[#This Row],[Sales]]</f>
        <v>92.004730914557683</v>
      </c>
      <c r="K146" s="5">
        <f>Table13[[#This Row],[Sales]]/Table13[[#This Row],[Unique Visitors]]</f>
        <v>1.0869006300650703E-2</v>
      </c>
      <c r="L146"/>
    </row>
    <row r="147" spans="1:12" x14ac:dyDescent="0.2">
      <c r="A147" s="2" t="s">
        <v>11</v>
      </c>
      <c r="B147" s="2" t="s">
        <v>16</v>
      </c>
      <c r="C147" s="2" t="s">
        <v>64</v>
      </c>
      <c r="D147" s="2" t="s">
        <v>72</v>
      </c>
      <c r="E147" s="2" t="s">
        <v>75</v>
      </c>
      <c r="F147" s="2" t="s">
        <v>78</v>
      </c>
      <c r="G147" s="2">
        <v>2025</v>
      </c>
      <c r="H147" s="3">
        <v>43740</v>
      </c>
      <c r="I147" s="3">
        <v>2495824.8367670681</v>
      </c>
      <c r="J147" s="4">
        <f>Table13[[#This Row],[Unique Visitors]]/Table13[[#This Row],[Sales]]</f>
        <v>57.060467232900507</v>
      </c>
      <c r="K147" s="5">
        <f>Table13[[#This Row],[Sales]]/Table13[[#This Row],[Unique Visitors]]</f>
        <v>1.7525268342412203E-2</v>
      </c>
      <c r="L147"/>
    </row>
    <row r="148" spans="1:12" x14ac:dyDescent="0.2">
      <c r="A148" s="2" t="s">
        <v>61</v>
      </c>
      <c r="B148" s="2" t="s">
        <v>23</v>
      </c>
      <c r="C148" s="2" t="s">
        <v>67</v>
      </c>
      <c r="D148" s="2" t="s">
        <v>73</v>
      </c>
      <c r="E148" s="2" t="s">
        <v>75</v>
      </c>
      <c r="F148" s="2" t="s">
        <v>77</v>
      </c>
      <c r="G148" s="2">
        <v>2024</v>
      </c>
      <c r="H148" s="3">
        <v>43623</v>
      </c>
      <c r="I148" s="3">
        <v>4097092.8511580024</v>
      </c>
      <c r="J148" s="4">
        <f>Table13[[#This Row],[Unique Visitors]]/Table13[[#This Row],[Sales]]</f>
        <v>93.920474317630664</v>
      </c>
      <c r="K148" s="5">
        <f>Table13[[#This Row],[Sales]]/Table13[[#This Row],[Unique Visitors]]</f>
        <v>1.064730568350932E-2</v>
      </c>
      <c r="L148"/>
    </row>
    <row r="149" spans="1:12" x14ac:dyDescent="0.2">
      <c r="A149" s="2" t="s">
        <v>11</v>
      </c>
      <c r="B149" s="2" t="s">
        <v>42</v>
      </c>
      <c r="C149" s="2" t="s">
        <v>62</v>
      </c>
      <c r="D149" s="2" t="s">
        <v>73</v>
      </c>
      <c r="E149" s="2" t="s">
        <v>75</v>
      </c>
      <c r="F149" s="2" t="s">
        <v>77</v>
      </c>
      <c r="G149" s="2">
        <v>2025</v>
      </c>
      <c r="H149" s="3">
        <v>42995</v>
      </c>
      <c r="I149" s="3">
        <v>3128940.809575317</v>
      </c>
      <c r="J149" s="4">
        <f>Table13[[#This Row],[Unique Visitors]]/Table13[[#This Row],[Sales]]</f>
        <v>72.774527493320548</v>
      </c>
      <c r="K149" s="5">
        <f>Table13[[#This Row],[Sales]]/Table13[[#This Row],[Unique Visitors]]</f>
        <v>1.3741071696986048E-2</v>
      </c>
      <c r="L149"/>
    </row>
    <row r="150" spans="1:12" x14ac:dyDescent="0.2">
      <c r="A150" s="2" t="s">
        <v>65</v>
      </c>
      <c r="B150" s="2" t="s">
        <v>50</v>
      </c>
      <c r="C150" s="2" t="s">
        <v>71</v>
      </c>
      <c r="D150" s="2" t="s">
        <v>73</v>
      </c>
      <c r="E150" s="2" t="s">
        <v>75</v>
      </c>
      <c r="F150" s="2" t="s">
        <v>77</v>
      </c>
      <c r="G150" s="2">
        <v>2025</v>
      </c>
      <c r="H150" s="3">
        <v>42387</v>
      </c>
      <c r="I150" s="2">
        <v>3812000</v>
      </c>
      <c r="J150" s="4">
        <f>Table13[[#This Row],[Unique Visitors]]/Table13[[#This Row],[Sales]]</f>
        <v>89.933234246349116</v>
      </c>
      <c r="K150" s="5">
        <f>Table13[[#This Row],[Sales]]/Table13[[#This Row],[Unique Visitors]]</f>
        <v>1.1119359916054564E-2</v>
      </c>
      <c r="L150"/>
    </row>
    <row r="151" spans="1:12" x14ac:dyDescent="0.2">
      <c r="A151" s="2" t="s">
        <v>65</v>
      </c>
      <c r="B151" s="2" t="s">
        <v>14</v>
      </c>
      <c r="C151" s="2" t="s">
        <v>63</v>
      </c>
      <c r="D151" s="2" t="s">
        <v>72</v>
      </c>
      <c r="E151" s="2" t="s">
        <v>75</v>
      </c>
      <c r="F151" s="2" t="s">
        <v>77</v>
      </c>
      <c r="G151" s="2">
        <v>2025</v>
      </c>
      <c r="H151" s="3">
        <v>41260</v>
      </c>
      <c r="I151" s="3">
        <v>4365849.5748634981</v>
      </c>
      <c r="J151" s="4">
        <f>Table13[[#This Row],[Unique Visitors]]/Table13[[#This Row],[Sales]]</f>
        <v>105.81312590556225</v>
      </c>
      <c r="K151" s="5">
        <f>Table13[[#This Row],[Sales]]/Table13[[#This Row],[Unique Visitors]]</f>
        <v>9.4506233649357986E-3</v>
      </c>
      <c r="L151"/>
    </row>
    <row r="152" spans="1:12" x14ac:dyDescent="0.2">
      <c r="A152" s="2" t="s">
        <v>63</v>
      </c>
      <c r="B152" s="2" t="s">
        <v>39</v>
      </c>
      <c r="C152" s="2" t="s">
        <v>69</v>
      </c>
      <c r="D152" s="2" t="s">
        <v>73</v>
      </c>
      <c r="E152" s="2" t="s">
        <v>75</v>
      </c>
      <c r="F152" s="2" t="s">
        <v>77</v>
      </c>
      <c r="G152" s="2">
        <v>2025</v>
      </c>
      <c r="H152" s="3">
        <v>40724</v>
      </c>
      <c r="I152" s="3">
        <v>4180275.9839959578</v>
      </c>
      <c r="J152" s="4">
        <f>Table13[[#This Row],[Unique Visitors]]/Table13[[#This Row],[Sales]]</f>
        <v>102.64895354081028</v>
      </c>
      <c r="K152" s="5">
        <f>Table13[[#This Row],[Sales]]/Table13[[#This Row],[Unique Visitors]]</f>
        <v>9.7419405216092013E-3</v>
      </c>
      <c r="L152"/>
    </row>
    <row r="153" spans="1:12" x14ac:dyDescent="0.2">
      <c r="A153" s="2" t="s">
        <v>61</v>
      </c>
      <c r="B153" s="2" t="s">
        <v>54</v>
      </c>
      <c r="C153" s="2" t="s">
        <v>67</v>
      </c>
      <c r="D153" s="2" t="s">
        <v>72</v>
      </c>
      <c r="E153" s="2" t="s">
        <v>76</v>
      </c>
      <c r="F153" s="2" t="s">
        <v>78</v>
      </c>
      <c r="G153" s="2">
        <v>2024</v>
      </c>
      <c r="H153" s="3">
        <v>40709</v>
      </c>
      <c r="I153" s="3">
        <v>3598248.8026939668</v>
      </c>
      <c r="J153" s="4">
        <f>Table13[[#This Row],[Unique Visitors]]/Table13[[#This Row],[Sales]]</f>
        <v>88.389515898056118</v>
      </c>
      <c r="K153" s="5">
        <f>Table13[[#This Row],[Sales]]/Table13[[#This Row],[Unique Visitors]]</f>
        <v>1.1313558964994763E-2</v>
      </c>
      <c r="L153"/>
    </row>
    <row r="154" spans="1:12" x14ac:dyDescent="0.2">
      <c r="A154" s="2" t="s">
        <v>61</v>
      </c>
      <c r="B154" s="2" t="s">
        <v>18</v>
      </c>
      <c r="C154" s="2" t="s">
        <v>65</v>
      </c>
      <c r="D154" s="2" t="s">
        <v>73</v>
      </c>
      <c r="E154" s="2" t="s">
        <v>75</v>
      </c>
      <c r="F154" s="2" t="s">
        <v>77</v>
      </c>
      <c r="G154" s="2">
        <v>2024</v>
      </c>
      <c r="H154" s="3">
        <v>40394</v>
      </c>
      <c r="I154" s="3">
        <v>1771953.0446878544</v>
      </c>
      <c r="J154" s="4">
        <f>Table13[[#This Row],[Unique Visitors]]/Table13[[#This Row],[Sales]]</f>
        <v>43.866738740601434</v>
      </c>
      <c r="K154" s="5">
        <f>Table13[[#This Row],[Sales]]/Table13[[#This Row],[Unique Visitors]]</f>
        <v>2.2796315128720452E-2</v>
      </c>
      <c r="L154"/>
    </row>
    <row r="155" spans="1:12" x14ac:dyDescent="0.2">
      <c r="A155" s="2" t="s">
        <v>61</v>
      </c>
      <c r="B155" s="2" t="s">
        <v>80</v>
      </c>
      <c r="C155" s="2" t="s">
        <v>62</v>
      </c>
      <c r="D155" s="2" t="s">
        <v>73</v>
      </c>
      <c r="E155" s="2" t="s">
        <v>75</v>
      </c>
      <c r="F155" s="2" t="s">
        <v>77</v>
      </c>
      <c r="G155" s="2">
        <v>2024</v>
      </c>
      <c r="H155" s="3">
        <v>40007</v>
      </c>
      <c r="I155" s="2">
        <v>2511000</v>
      </c>
      <c r="J155" s="4">
        <f>Table13[[#This Row],[Unique Visitors]]/Table13[[#This Row],[Sales]]</f>
        <v>62.764016297147997</v>
      </c>
      <c r="K155" s="5">
        <f>Table13[[#This Row],[Sales]]/Table13[[#This Row],[Unique Visitors]]</f>
        <v>1.5932696136997212E-2</v>
      </c>
      <c r="L155"/>
    </row>
    <row r="156" spans="1:12" x14ac:dyDescent="0.2">
      <c r="A156" s="2" t="s">
        <v>60</v>
      </c>
      <c r="B156" s="2" t="s">
        <v>41</v>
      </c>
      <c r="C156" s="2" t="s">
        <v>64</v>
      </c>
      <c r="D156" s="2" t="s">
        <v>73</v>
      </c>
      <c r="E156" s="2" t="s">
        <v>75</v>
      </c>
      <c r="F156" s="2" t="s">
        <v>78</v>
      </c>
      <c r="G156" s="2">
        <v>2024</v>
      </c>
      <c r="H156" s="3">
        <v>39951</v>
      </c>
      <c r="I156" s="3">
        <v>1894301.5418745221</v>
      </c>
      <c r="J156" s="4">
        <f>Table13[[#This Row],[Unique Visitors]]/Table13[[#This Row],[Sales]]</f>
        <v>47.415622684651751</v>
      </c>
      <c r="K156" s="5">
        <f>Table13[[#This Row],[Sales]]/Table13[[#This Row],[Unique Visitors]]</f>
        <v>2.1090095276207265E-2</v>
      </c>
      <c r="L156"/>
    </row>
    <row r="157" spans="1:12" x14ac:dyDescent="0.2">
      <c r="A157" s="2" t="s">
        <v>61</v>
      </c>
      <c r="B157" s="2" t="s">
        <v>49</v>
      </c>
      <c r="C157" s="2" t="s">
        <v>65</v>
      </c>
      <c r="D157" s="2" t="s">
        <v>73</v>
      </c>
      <c r="E157" s="2" t="s">
        <v>75</v>
      </c>
      <c r="F157" s="2" t="s">
        <v>77</v>
      </c>
      <c r="G157" s="2">
        <v>2024</v>
      </c>
      <c r="H157" s="3">
        <v>39912</v>
      </c>
      <c r="I157" s="3">
        <v>1122207.2719394388</v>
      </c>
      <c r="J157" s="4">
        <f>Table13[[#This Row],[Unique Visitors]]/Table13[[#This Row],[Sales]]</f>
        <v>28.117039284912778</v>
      </c>
      <c r="K157" s="5">
        <f>Table13[[#This Row],[Sales]]/Table13[[#This Row],[Unique Visitors]]</f>
        <v>3.5565622321287092E-2</v>
      </c>
      <c r="L157"/>
    </row>
    <row r="158" spans="1:12" x14ac:dyDescent="0.2">
      <c r="A158" s="2" t="s">
        <v>11</v>
      </c>
      <c r="B158" s="2" t="s">
        <v>54</v>
      </c>
      <c r="C158" s="2" t="s">
        <v>67</v>
      </c>
      <c r="D158" s="2" t="s">
        <v>72</v>
      </c>
      <c r="E158" s="2" t="s">
        <v>76</v>
      </c>
      <c r="F158" s="2" t="s">
        <v>78</v>
      </c>
      <c r="G158" s="2">
        <v>2025</v>
      </c>
      <c r="H158" s="3">
        <v>39227</v>
      </c>
      <c r="I158" s="3">
        <v>4762568.2478598384</v>
      </c>
      <c r="J158" s="4">
        <f>Table13[[#This Row],[Unique Visitors]]/Table13[[#This Row],[Sales]]</f>
        <v>121.41046340173448</v>
      </c>
      <c r="K158" s="5">
        <f>Table13[[#This Row],[Sales]]/Table13[[#This Row],[Unique Visitors]]</f>
        <v>8.2365223884460839E-3</v>
      </c>
      <c r="L158"/>
    </row>
    <row r="159" spans="1:12" x14ac:dyDescent="0.2">
      <c r="A159" s="2" t="s">
        <v>61</v>
      </c>
      <c r="B159" s="2" t="s">
        <v>18</v>
      </c>
      <c r="C159" s="2" t="s">
        <v>65</v>
      </c>
      <c r="D159" s="2" t="s">
        <v>73</v>
      </c>
      <c r="E159" s="2" t="s">
        <v>75</v>
      </c>
      <c r="F159" s="2" t="s">
        <v>77</v>
      </c>
      <c r="G159" s="2">
        <v>2025</v>
      </c>
      <c r="H159" s="3">
        <v>38900</v>
      </c>
      <c r="I159" s="3">
        <v>1789328.3686191288</v>
      </c>
      <c r="J159" s="4">
        <f>Table13[[#This Row],[Unique Visitors]]/Table13[[#This Row],[Sales]]</f>
        <v>45.998158576327221</v>
      </c>
      <c r="K159" s="5">
        <f>Table13[[#This Row],[Sales]]/Table13[[#This Row],[Unique Visitors]]</f>
        <v>2.1740000707651072E-2</v>
      </c>
      <c r="L159"/>
    </row>
    <row r="160" spans="1:12" x14ac:dyDescent="0.2">
      <c r="A160" s="2" t="s">
        <v>65</v>
      </c>
      <c r="B160" s="2" t="s">
        <v>14</v>
      </c>
      <c r="C160" s="2" t="s">
        <v>63</v>
      </c>
      <c r="D160" s="2" t="s">
        <v>72</v>
      </c>
      <c r="E160" s="2" t="s">
        <v>75</v>
      </c>
      <c r="F160" s="2" t="s">
        <v>77</v>
      </c>
      <c r="G160" s="2">
        <v>2024</v>
      </c>
      <c r="H160" s="3">
        <v>38770</v>
      </c>
      <c r="I160" s="3">
        <v>4179553.4055793467</v>
      </c>
      <c r="J160" s="4">
        <f>Table13[[#This Row],[Unique Visitors]]/Table13[[#This Row],[Sales]]</f>
        <v>107.80380205260116</v>
      </c>
      <c r="K160" s="5">
        <f>Table13[[#This Row],[Sales]]/Table13[[#This Row],[Unique Visitors]]</f>
        <v>9.2761106840375251E-3</v>
      </c>
      <c r="L160"/>
    </row>
    <row r="161" spans="1:12" x14ac:dyDescent="0.2">
      <c r="A161" s="2" t="s">
        <v>61</v>
      </c>
      <c r="B161" s="2" t="s">
        <v>49</v>
      </c>
      <c r="C161" s="2" t="s">
        <v>65</v>
      </c>
      <c r="D161" s="2" t="s">
        <v>73</v>
      </c>
      <c r="E161" s="2" t="s">
        <v>75</v>
      </c>
      <c r="F161" s="2" t="s">
        <v>77</v>
      </c>
      <c r="G161" s="2">
        <v>2025</v>
      </c>
      <c r="H161" s="3">
        <v>38555</v>
      </c>
      <c r="I161" s="3">
        <v>1141842.8608995923</v>
      </c>
      <c r="J161" s="4">
        <f>Table13[[#This Row],[Unique Visitors]]/Table13[[#This Row],[Sales]]</f>
        <v>29.615947630646929</v>
      </c>
      <c r="K161" s="5">
        <f>Table13[[#This Row],[Sales]]/Table13[[#This Row],[Unique Visitors]]</f>
        <v>3.3765591851776112E-2</v>
      </c>
      <c r="L161"/>
    </row>
    <row r="162" spans="1:12" x14ac:dyDescent="0.2">
      <c r="A162" s="2" t="s">
        <v>65</v>
      </c>
      <c r="B162" s="2" t="s">
        <v>17</v>
      </c>
      <c r="C162" s="2" t="s">
        <v>61</v>
      </c>
      <c r="D162" s="2" t="s">
        <v>73</v>
      </c>
      <c r="E162" s="2" t="s">
        <v>75</v>
      </c>
      <c r="F162" s="2" t="s">
        <v>77</v>
      </c>
      <c r="G162" s="2">
        <v>2024</v>
      </c>
      <c r="H162" s="3">
        <v>38475</v>
      </c>
      <c r="I162" s="3">
        <v>3409660.9240268795</v>
      </c>
      <c r="J162" s="4">
        <f>Table13[[#This Row],[Unique Visitors]]/Table13[[#This Row],[Sales]]</f>
        <v>88.620166966260669</v>
      </c>
      <c r="K162" s="5">
        <f>Table13[[#This Row],[Sales]]/Table13[[#This Row],[Unique Visitors]]</f>
        <v>1.128411324682697E-2</v>
      </c>
      <c r="L162"/>
    </row>
    <row r="163" spans="1:12" x14ac:dyDescent="0.2">
      <c r="A163" s="2" t="s">
        <v>61</v>
      </c>
      <c r="B163" s="2" t="s">
        <v>23</v>
      </c>
      <c r="C163" s="2" t="s">
        <v>67</v>
      </c>
      <c r="D163" s="2" t="s">
        <v>73</v>
      </c>
      <c r="E163" s="2" t="s">
        <v>75</v>
      </c>
      <c r="F163" s="2" t="s">
        <v>77</v>
      </c>
      <c r="G163" s="2">
        <v>2025</v>
      </c>
      <c r="H163" s="3">
        <v>38321</v>
      </c>
      <c r="I163" s="3">
        <v>4045847.2183523364</v>
      </c>
      <c r="J163" s="4">
        <f>Table13[[#This Row],[Unique Visitors]]/Table13[[#This Row],[Sales]]</f>
        <v>105.57780899121465</v>
      </c>
      <c r="K163" s="5">
        <f>Table13[[#This Row],[Sales]]/Table13[[#This Row],[Unique Visitors]]</f>
        <v>9.4716873702428515E-3</v>
      </c>
      <c r="L163"/>
    </row>
    <row r="164" spans="1:12" x14ac:dyDescent="0.2">
      <c r="A164" s="2" t="s">
        <v>65</v>
      </c>
      <c r="B164" s="2" t="s">
        <v>50</v>
      </c>
      <c r="C164" s="2" t="s">
        <v>71</v>
      </c>
      <c r="D164" s="2" t="s">
        <v>73</v>
      </c>
      <c r="E164" s="2" t="s">
        <v>75</v>
      </c>
      <c r="F164" s="2" t="s">
        <v>77</v>
      </c>
      <c r="G164" s="2">
        <v>2024</v>
      </c>
      <c r="H164" s="3">
        <v>38255</v>
      </c>
      <c r="I164" s="2">
        <v>3696000</v>
      </c>
      <c r="J164" s="4">
        <f>Table13[[#This Row],[Unique Visitors]]/Table13[[#This Row],[Sales]]</f>
        <v>96.614821591948768</v>
      </c>
      <c r="K164" s="5">
        <f>Table13[[#This Row],[Sales]]/Table13[[#This Row],[Unique Visitors]]</f>
        <v>1.0350378787878789E-2</v>
      </c>
      <c r="L164"/>
    </row>
    <row r="165" spans="1:12" x14ac:dyDescent="0.2">
      <c r="A165" s="2" t="s">
        <v>60</v>
      </c>
      <c r="B165" s="2" t="s">
        <v>50</v>
      </c>
      <c r="C165" s="2" t="s">
        <v>71</v>
      </c>
      <c r="D165" s="2" t="s">
        <v>73</v>
      </c>
      <c r="E165" s="2" t="s">
        <v>75</v>
      </c>
      <c r="F165" s="2" t="s">
        <v>77</v>
      </c>
      <c r="G165" s="2">
        <v>2025</v>
      </c>
      <c r="H165" s="3">
        <v>38158</v>
      </c>
      <c r="I165" s="3">
        <v>4189482.6151352399</v>
      </c>
      <c r="J165" s="4">
        <f>Table13[[#This Row],[Unique Visitors]]/Table13[[#This Row],[Sales]]</f>
        <v>109.79303462275905</v>
      </c>
      <c r="K165" s="5">
        <f>Table13[[#This Row],[Sales]]/Table13[[#This Row],[Unique Visitors]]</f>
        <v>9.1080459105254523E-3</v>
      </c>
      <c r="L165"/>
    </row>
    <row r="166" spans="1:12" x14ac:dyDescent="0.2">
      <c r="A166" s="2" t="s">
        <v>60</v>
      </c>
      <c r="B166" s="2" t="s">
        <v>50</v>
      </c>
      <c r="C166" s="2" t="s">
        <v>71</v>
      </c>
      <c r="D166" s="2" t="s">
        <v>73</v>
      </c>
      <c r="E166" s="2" t="s">
        <v>75</v>
      </c>
      <c r="F166" s="2" t="s">
        <v>77</v>
      </c>
      <c r="G166" s="2">
        <v>2024</v>
      </c>
      <c r="H166" s="3">
        <v>38152</v>
      </c>
      <c r="I166" s="3">
        <v>3961919.7905268674</v>
      </c>
      <c r="J166" s="4">
        <f>Table13[[#This Row],[Unique Visitors]]/Table13[[#This Row],[Sales]]</f>
        <v>103.84566446128295</v>
      </c>
      <c r="K166" s="5">
        <f>Table13[[#This Row],[Sales]]/Table13[[#This Row],[Unique Visitors]]</f>
        <v>9.629675010388446E-3</v>
      </c>
      <c r="L166"/>
    </row>
    <row r="167" spans="1:12" x14ac:dyDescent="0.2">
      <c r="A167" s="2" t="s">
        <v>60</v>
      </c>
      <c r="B167" s="2" t="s">
        <v>53</v>
      </c>
      <c r="C167" s="2" t="s">
        <v>69</v>
      </c>
      <c r="D167" s="2" t="s">
        <v>73</v>
      </c>
      <c r="E167" s="2" t="s">
        <v>75</v>
      </c>
      <c r="F167" s="2" t="s">
        <v>77</v>
      </c>
      <c r="G167" s="2">
        <v>2024</v>
      </c>
      <c r="H167" s="3">
        <v>37684</v>
      </c>
      <c r="I167" s="3">
        <v>3753476.5993850362</v>
      </c>
      <c r="J167" s="4">
        <f>Table13[[#This Row],[Unique Visitors]]/Table13[[#This Row],[Sales]]</f>
        <v>99.603985760137888</v>
      </c>
      <c r="K167" s="5">
        <f>Table13[[#This Row],[Sales]]/Table13[[#This Row],[Unique Visitors]]</f>
        <v>1.0039758874791997E-2</v>
      </c>
      <c r="L167"/>
    </row>
    <row r="168" spans="1:12" x14ac:dyDescent="0.2">
      <c r="A168" s="2" t="s">
        <v>63</v>
      </c>
      <c r="B168" s="2" t="s">
        <v>54</v>
      </c>
      <c r="C168" s="2" t="s">
        <v>67</v>
      </c>
      <c r="D168" s="2" t="s">
        <v>72</v>
      </c>
      <c r="E168" s="2" t="s">
        <v>76</v>
      </c>
      <c r="F168" s="2" t="s">
        <v>78</v>
      </c>
      <c r="G168" s="2">
        <v>2024</v>
      </c>
      <c r="H168" s="3">
        <v>37574</v>
      </c>
      <c r="I168" s="3">
        <v>5035080.6286712186</v>
      </c>
      <c r="J168" s="4">
        <f>Table13[[#This Row],[Unique Visitors]]/Table13[[#This Row],[Sales]]</f>
        <v>134.00438145183421</v>
      </c>
      <c r="K168" s="5">
        <f>Table13[[#This Row],[Sales]]/Table13[[#This Row],[Unique Visitors]]</f>
        <v>7.4624425646816215E-3</v>
      </c>
      <c r="L168"/>
    </row>
    <row r="169" spans="1:12" x14ac:dyDescent="0.2">
      <c r="A169" s="2" t="s">
        <v>60</v>
      </c>
      <c r="B169" s="2" t="s">
        <v>80</v>
      </c>
      <c r="C169" s="2" t="s">
        <v>62</v>
      </c>
      <c r="D169" s="2" t="s">
        <v>73</v>
      </c>
      <c r="E169" s="2" t="s">
        <v>75</v>
      </c>
      <c r="F169" s="2" t="s">
        <v>77</v>
      </c>
      <c r="G169" s="2">
        <v>2025</v>
      </c>
      <c r="H169" s="3">
        <v>37553</v>
      </c>
      <c r="I169" s="2">
        <v>3063000</v>
      </c>
      <c r="J169" s="4">
        <f>Table13[[#This Row],[Unique Visitors]]/Table13[[#This Row],[Sales]]</f>
        <v>81.564721859771524</v>
      </c>
      <c r="K169" s="5">
        <f>Table13[[#This Row],[Sales]]/Table13[[#This Row],[Unique Visitors]]</f>
        <v>1.2260202415932092E-2</v>
      </c>
      <c r="L169"/>
    </row>
    <row r="170" spans="1:12" x14ac:dyDescent="0.2">
      <c r="A170" s="2" t="s">
        <v>63</v>
      </c>
      <c r="B170" s="2" t="s">
        <v>47</v>
      </c>
      <c r="C170" s="2" t="s">
        <v>63</v>
      </c>
      <c r="D170" s="2" t="s">
        <v>74</v>
      </c>
      <c r="E170" s="2" t="s">
        <v>75</v>
      </c>
      <c r="F170" s="2" t="s">
        <v>77</v>
      </c>
      <c r="G170" s="2">
        <v>2024</v>
      </c>
      <c r="H170" s="3">
        <v>36097</v>
      </c>
      <c r="I170" s="3">
        <v>6377585.9945960753</v>
      </c>
      <c r="J170" s="4">
        <f>Table13[[#This Row],[Unique Visitors]]/Table13[[#This Row],[Sales]]</f>
        <v>176.6791144581565</v>
      </c>
      <c r="K170" s="5">
        <f>Table13[[#This Row],[Sales]]/Table13[[#This Row],[Unique Visitors]]</f>
        <v>5.6599785609454892E-3</v>
      </c>
      <c r="L170"/>
    </row>
    <row r="171" spans="1:12" x14ac:dyDescent="0.2">
      <c r="A171" s="2" t="s">
        <v>60</v>
      </c>
      <c r="B171" s="2" t="s">
        <v>43</v>
      </c>
      <c r="C171" s="2" t="s">
        <v>69</v>
      </c>
      <c r="D171" s="2" t="s">
        <v>73</v>
      </c>
      <c r="E171" s="2" t="s">
        <v>75</v>
      </c>
      <c r="F171" s="2" t="s">
        <v>77</v>
      </c>
      <c r="G171" s="2">
        <v>2024</v>
      </c>
      <c r="H171" s="3">
        <v>34947</v>
      </c>
      <c r="I171" s="3">
        <v>5242971.424899824</v>
      </c>
      <c r="J171" s="4">
        <f>Table13[[#This Row],[Unique Visitors]]/Table13[[#This Row],[Sales]]</f>
        <v>150.02636635189927</v>
      </c>
      <c r="K171" s="5">
        <f>Table13[[#This Row],[Sales]]/Table13[[#This Row],[Unique Visitors]]</f>
        <v>6.6654950347488726E-3</v>
      </c>
      <c r="L171"/>
    </row>
    <row r="172" spans="1:12" x14ac:dyDescent="0.2">
      <c r="A172" s="2" t="s">
        <v>65</v>
      </c>
      <c r="B172" s="2" t="s">
        <v>43</v>
      </c>
      <c r="C172" s="2" t="s">
        <v>69</v>
      </c>
      <c r="D172" s="2" t="s">
        <v>73</v>
      </c>
      <c r="E172" s="2" t="s">
        <v>75</v>
      </c>
      <c r="F172" s="2" t="s">
        <v>77</v>
      </c>
      <c r="G172" s="2">
        <v>2025</v>
      </c>
      <c r="H172" s="3">
        <v>34711</v>
      </c>
      <c r="I172" s="3">
        <v>5586973.6311228611</v>
      </c>
      <c r="J172" s="4">
        <f>Table13[[#This Row],[Unique Visitors]]/Table13[[#This Row],[Sales]]</f>
        <v>160.95686183408318</v>
      </c>
      <c r="K172" s="5">
        <f>Table13[[#This Row],[Sales]]/Table13[[#This Row],[Unique Visitors]]</f>
        <v>6.2128447871381554E-3</v>
      </c>
      <c r="L172"/>
    </row>
    <row r="173" spans="1:12" x14ac:dyDescent="0.2">
      <c r="A173" s="2" t="s">
        <v>63</v>
      </c>
      <c r="B173" s="2" t="s">
        <v>42</v>
      </c>
      <c r="C173" s="2" t="s">
        <v>62</v>
      </c>
      <c r="D173" s="2" t="s">
        <v>73</v>
      </c>
      <c r="E173" s="2" t="s">
        <v>75</v>
      </c>
      <c r="F173" s="2" t="s">
        <v>77</v>
      </c>
      <c r="G173" s="2">
        <v>2025</v>
      </c>
      <c r="H173" s="3">
        <v>34647</v>
      </c>
      <c r="I173" s="3">
        <v>1919209.1872695028</v>
      </c>
      <c r="J173" s="4">
        <f>Table13[[#This Row],[Unique Visitors]]/Table13[[#This Row],[Sales]]</f>
        <v>55.393228483548441</v>
      </c>
      <c r="K173" s="5">
        <f>Table13[[#This Row],[Sales]]/Table13[[#This Row],[Unique Visitors]]</f>
        <v>1.8052748095319916E-2</v>
      </c>
      <c r="L173"/>
    </row>
    <row r="174" spans="1:12" x14ac:dyDescent="0.2">
      <c r="A174" s="2" t="s">
        <v>65</v>
      </c>
      <c r="B174" s="2" t="s">
        <v>17</v>
      </c>
      <c r="C174" s="2" t="s">
        <v>61</v>
      </c>
      <c r="D174" s="2" t="s">
        <v>73</v>
      </c>
      <c r="E174" s="2" t="s">
        <v>75</v>
      </c>
      <c r="F174" s="2" t="s">
        <v>77</v>
      </c>
      <c r="G174" s="2">
        <v>2025</v>
      </c>
      <c r="H174" s="3">
        <v>34286</v>
      </c>
      <c r="I174" s="3">
        <v>3093189.6907736398</v>
      </c>
      <c r="J174" s="4">
        <f>Table13[[#This Row],[Unique Visitors]]/Table13[[#This Row],[Sales]]</f>
        <v>90.217280836890851</v>
      </c>
      <c r="K174" s="5">
        <f>Table13[[#This Row],[Sales]]/Table13[[#This Row],[Unique Visitors]]</f>
        <v>1.1084350921725951E-2</v>
      </c>
      <c r="L174"/>
    </row>
    <row r="175" spans="1:12" x14ac:dyDescent="0.2">
      <c r="A175" s="2" t="s">
        <v>61</v>
      </c>
      <c r="B175" s="2" t="s">
        <v>32</v>
      </c>
      <c r="C175" s="2" t="s">
        <v>68</v>
      </c>
      <c r="D175" s="2" t="s">
        <v>73</v>
      </c>
      <c r="E175" s="2" t="s">
        <v>75</v>
      </c>
      <c r="F175" s="2" t="s">
        <v>77</v>
      </c>
      <c r="G175" s="2">
        <v>2025</v>
      </c>
      <c r="H175" s="3">
        <v>33988</v>
      </c>
      <c r="I175" s="3">
        <v>4317099.407765232</v>
      </c>
      <c r="J175" s="4">
        <f>Table13[[#This Row],[Unique Visitors]]/Table13[[#This Row],[Sales]]</f>
        <v>127.01834199615253</v>
      </c>
      <c r="K175" s="5">
        <f>Table13[[#This Row],[Sales]]/Table13[[#This Row],[Unique Visitors]]</f>
        <v>7.8728787062130809E-3</v>
      </c>
      <c r="L175"/>
    </row>
    <row r="176" spans="1:12" x14ac:dyDescent="0.2">
      <c r="A176" s="2" t="s">
        <v>61</v>
      </c>
      <c r="B176" s="2" t="s">
        <v>22</v>
      </c>
      <c r="C176" s="2" t="s">
        <v>60</v>
      </c>
      <c r="D176" s="2" t="s">
        <v>73</v>
      </c>
      <c r="E176" s="2" t="s">
        <v>75</v>
      </c>
      <c r="F176" s="2" t="s">
        <v>77</v>
      </c>
      <c r="G176" s="2">
        <v>2024</v>
      </c>
      <c r="H176" s="3">
        <v>32770</v>
      </c>
      <c r="I176" s="3">
        <v>1739392.8124679641</v>
      </c>
      <c r="J176" s="4">
        <f>Table13[[#This Row],[Unique Visitors]]/Table13[[#This Row],[Sales]]</f>
        <v>53.078816370703819</v>
      </c>
      <c r="K176" s="5">
        <f>Table13[[#This Row],[Sales]]/Table13[[#This Row],[Unique Visitors]]</f>
        <v>1.8839907676463135E-2</v>
      </c>
      <c r="L176"/>
    </row>
    <row r="177" spans="1:12" x14ac:dyDescent="0.2">
      <c r="A177" s="2" t="s">
        <v>63</v>
      </c>
      <c r="B177" s="2" t="s">
        <v>42</v>
      </c>
      <c r="C177" s="2" t="s">
        <v>62</v>
      </c>
      <c r="D177" s="2" t="s">
        <v>73</v>
      </c>
      <c r="E177" s="2" t="s">
        <v>75</v>
      </c>
      <c r="F177" s="2" t="s">
        <v>77</v>
      </c>
      <c r="G177" s="2">
        <v>2024</v>
      </c>
      <c r="H177" s="3">
        <v>32571</v>
      </c>
      <c r="I177" s="3">
        <v>2379415.055527247</v>
      </c>
      <c r="J177" s="4">
        <f>Table13[[#This Row],[Unique Visitors]]/Table13[[#This Row],[Sales]]</f>
        <v>73.053177843088847</v>
      </c>
      <c r="K177" s="5">
        <f>Table13[[#This Row],[Sales]]/Table13[[#This Row],[Unique Visitors]]</f>
        <v>1.3688658447520286E-2</v>
      </c>
      <c r="L177"/>
    </row>
    <row r="178" spans="1:12" x14ac:dyDescent="0.2">
      <c r="A178" s="2" t="s">
        <v>11</v>
      </c>
      <c r="B178" s="2" t="s">
        <v>18</v>
      </c>
      <c r="C178" s="2" t="s">
        <v>65</v>
      </c>
      <c r="D178" s="2" t="s">
        <v>73</v>
      </c>
      <c r="E178" s="2" t="s">
        <v>75</v>
      </c>
      <c r="F178" s="2" t="s">
        <v>77</v>
      </c>
      <c r="G178" s="2">
        <v>2025</v>
      </c>
      <c r="H178" s="3">
        <v>32394</v>
      </c>
      <c r="I178" s="3">
        <v>2058131.7283861679</v>
      </c>
      <c r="J178" s="4">
        <f>Table13[[#This Row],[Unique Visitors]]/Table13[[#This Row],[Sales]]</f>
        <v>63.534349829788475</v>
      </c>
      <c r="K178" s="5">
        <f>Table13[[#This Row],[Sales]]/Table13[[#This Row],[Unique Visitors]]</f>
        <v>1.5739517326911305E-2</v>
      </c>
      <c r="L178"/>
    </row>
    <row r="179" spans="1:12" x14ac:dyDescent="0.2">
      <c r="A179" s="2" t="s">
        <v>61</v>
      </c>
      <c r="B179" s="2" t="s">
        <v>80</v>
      </c>
      <c r="C179" s="2" t="s">
        <v>62</v>
      </c>
      <c r="D179" s="2" t="s">
        <v>73</v>
      </c>
      <c r="E179" s="2" t="s">
        <v>75</v>
      </c>
      <c r="F179" s="2" t="s">
        <v>77</v>
      </c>
      <c r="G179" s="2">
        <v>2025</v>
      </c>
      <c r="H179" s="3">
        <v>32290</v>
      </c>
      <c r="I179" s="2">
        <v>3205000</v>
      </c>
      <c r="J179" s="4">
        <f>Table13[[#This Row],[Unique Visitors]]/Table13[[#This Row],[Sales]]</f>
        <v>99.256735831526782</v>
      </c>
      <c r="K179" s="5">
        <f>Table13[[#This Row],[Sales]]/Table13[[#This Row],[Unique Visitors]]</f>
        <v>1.0074882995319813E-2</v>
      </c>
      <c r="L179"/>
    </row>
    <row r="180" spans="1:12" x14ac:dyDescent="0.2">
      <c r="A180" s="2" t="s">
        <v>65</v>
      </c>
      <c r="B180" s="2" t="s">
        <v>43</v>
      </c>
      <c r="C180" s="2" t="s">
        <v>69</v>
      </c>
      <c r="D180" s="2" t="s">
        <v>73</v>
      </c>
      <c r="E180" s="2" t="s">
        <v>75</v>
      </c>
      <c r="F180" s="2" t="s">
        <v>77</v>
      </c>
      <c r="G180" s="2">
        <v>2024</v>
      </c>
      <c r="H180" s="3">
        <v>31519</v>
      </c>
      <c r="I180" s="3">
        <v>7820702.5720936591</v>
      </c>
      <c r="J180" s="4">
        <f>Table13[[#This Row],[Unique Visitors]]/Table13[[#This Row],[Sales]]</f>
        <v>248.12660846136168</v>
      </c>
      <c r="K180" s="5">
        <f>Table13[[#This Row],[Sales]]/Table13[[#This Row],[Unique Visitors]]</f>
        <v>4.030200574622049E-3</v>
      </c>
      <c r="L180"/>
    </row>
    <row r="181" spans="1:12" x14ac:dyDescent="0.2">
      <c r="A181" s="2" t="s">
        <v>60</v>
      </c>
      <c r="B181" s="2" t="s">
        <v>43</v>
      </c>
      <c r="C181" s="2" t="s">
        <v>69</v>
      </c>
      <c r="D181" s="2" t="s">
        <v>73</v>
      </c>
      <c r="E181" s="2" t="s">
        <v>75</v>
      </c>
      <c r="F181" s="2" t="s">
        <v>77</v>
      </c>
      <c r="G181" s="2">
        <v>2025</v>
      </c>
      <c r="H181" s="3">
        <v>31495</v>
      </c>
      <c r="I181" s="3">
        <v>3431383.31143138</v>
      </c>
      <c r="J181" s="4">
        <f>Table13[[#This Row],[Unique Visitors]]/Table13[[#This Row],[Sales]]</f>
        <v>108.95009720372694</v>
      </c>
      <c r="K181" s="5">
        <f>Table13[[#This Row],[Sales]]/Table13[[#This Row],[Unique Visitors]]</f>
        <v>9.1785140689694782E-3</v>
      </c>
      <c r="L181"/>
    </row>
    <row r="182" spans="1:12" x14ac:dyDescent="0.2">
      <c r="A182" s="2" t="s">
        <v>11</v>
      </c>
      <c r="B182" s="2" t="s">
        <v>19</v>
      </c>
      <c r="C182" s="2" t="s">
        <v>66</v>
      </c>
      <c r="D182" s="2" t="s">
        <v>73</v>
      </c>
      <c r="E182" s="2" t="s">
        <v>75</v>
      </c>
      <c r="F182" s="2" t="s">
        <v>77</v>
      </c>
      <c r="G182" s="2">
        <v>2024</v>
      </c>
      <c r="H182" s="3">
        <v>31457</v>
      </c>
      <c r="I182" s="3">
        <v>2257154.0517008239</v>
      </c>
      <c r="J182" s="4">
        <f>Table13[[#This Row],[Unique Visitors]]/Table13[[#This Row],[Sales]]</f>
        <v>71.753633585555647</v>
      </c>
      <c r="K182" s="5">
        <f>Table13[[#This Row],[Sales]]/Table13[[#This Row],[Unique Visitors]]</f>
        <v>1.3936576449576552E-2</v>
      </c>
      <c r="L182"/>
    </row>
    <row r="183" spans="1:12" x14ac:dyDescent="0.2">
      <c r="A183" s="2" t="s">
        <v>60</v>
      </c>
      <c r="B183" s="2" t="s">
        <v>53</v>
      </c>
      <c r="C183" s="2" t="s">
        <v>69</v>
      </c>
      <c r="D183" s="2" t="s">
        <v>73</v>
      </c>
      <c r="E183" s="2" t="s">
        <v>75</v>
      </c>
      <c r="F183" s="2" t="s">
        <v>77</v>
      </c>
      <c r="G183" s="2">
        <v>2025</v>
      </c>
      <c r="H183" s="3">
        <v>31222</v>
      </c>
      <c r="I183" s="3">
        <v>3795111.1010822528</v>
      </c>
      <c r="J183" s="4">
        <f>Table13[[#This Row],[Unique Visitors]]/Table13[[#This Row],[Sales]]</f>
        <v>121.55246624438706</v>
      </c>
      <c r="K183" s="5">
        <f>Table13[[#This Row],[Sales]]/Table13[[#This Row],[Unique Visitors]]</f>
        <v>8.2269001271389423E-3</v>
      </c>
      <c r="L183"/>
    </row>
    <row r="184" spans="1:12" x14ac:dyDescent="0.2">
      <c r="A184" s="2" t="s">
        <v>63</v>
      </c>
      <c r="B184" s="2" t="s">
        <v>43</v>
      </c>
      <c r="C184" s="2" t="s">
        <v>69</v>
      </c>
      <c r="D184" s="2" t="s">
        <v>73</v>
      </c>
      <c r="E184" s="2" t="s">
        <v>75</v>
      </c>
      <c r="F184" s="2" t="s">
        <v>77</v>
      </c>
      <c r="G184" s="2">
        <v>2025</v>
      </c>
      <c r="H184" s="3">
        <v>31112</v>
      </c>
      <c r="I184" s="3">
        <v>3524910.5122378464</v>
      </c>
      <c r="J184" s="4">
        <f>Table13[[#This Row],[Unique Visitors]]/Table13[[#This Row],[Sales]]</f>
        <v>113.2974579659889</v>
      </c>
      <c r="K184" s="5">
        <f>Table13[[#This Row],[Sales]]/Table13[[#This Row],[Unique Visitors]]</f>
        <v>8.8263233611136534E-3</v>
      </c>
      <c r="L184"/>
    </row>
    <row r="185" spans="1:12" x14ac:dyDescent="0.2">
      <c r="A185" s="2" t="s">
        <v>65</v>
      </c>
      <c r="B185" s="2" t="s">
        <v>41</v>
      </c>
      <c r="C185" s="2" t="s">
        <v>64</v>
      </c>
      <c r="D185" s="2" t="s">
        <v>73</v>
      </c>
      <c r="E185" s="2" t="s">
        <v>75</v>
      </c>
      <c r="F185" s="2" t="s">
        <v>78</v>
      </c>
      <c r="G185" s="2">
        <v>2024</v>
      </c>
      <c r="H185" s="3">
        <v>30770</v>
      </c>
      <c r="I185" s="3">
        <v>5082000</v>
      </c>
      <c r="J185" s="4">
        <f>Table13[[#This Row],[Unique Visitors]]/Table13[[#This Row],[Sales]]</f>
        <v>165.16087097822555</v>
      </c>
      <c r="K185" s="5">
        <f>Table13[[#This Row],[Sales]]/Table13[[#This Row],[Unique Visitors]]</f>
        <v>6.0547028728846911E-3</v>
      </c>
      <c r="L185"/>
    </row>
    <row r="186" spans="1:12" x14ac:dyDescent="0.2">
      <c r="A186" s="2" t="s">
        <v>11</v>
      </c>
      <c r="B186" s="2" t="s">
        <v>26</v>
      </c>
      <c r="C186" s="2" t="s">
        <v>69</v>
      </c>
      <c r="D186" s="2" t="s">
        <v>73</v>
      </c>
      <c r="E186" s="2" t="s">
        <v>75</v>
      </c>
      <c r="F186" s="2" t="s">
        <v>77</v>
      </c>
      <c r="G186" s="2">
        <v>2024</v>
      </c>
      <c r="H186" s="3">
        <v>30636</v>
      </c>
      <c r="I186" s="3">
        <v>5656184.6829830976</v>
      </c>
      <c r="J186" s="4">
        <f>Table13[[#This Row],[Unique Visitors]]/Table13[[#This Row],[Sales]]</f>
        <v>184.62543031019382</v>
      </c>
      <c r="K186" s="5">
        <f>Table13[[#This Row],[Sales]]/Table13[[#This Row],[Unique Visitors]]</f>
        <v>5.4163719392278462E-3</v>
      </c>
      <c r="L186"/>
    </row>
    <row r="187" spans="1:12" x14ac:dyDescent="0.2">
      <c r="A187" s="2" t="s">
        <v>11</v>
      </c>
      <c r="B187" s="2" t="s">
        <v>17</v>
      </c>
      <c r="C187" s="2" t="s">
        <v>61</v>
      </c>
      <c r="D187" s="2" t="s">
        <v>73</v>
      </c>
      <c r="E187" s="2" t="s">
        <v>75</v>
      </c>
      <c r="F187" s="2" t="s">
        <v>77</v>
      </c>
      <c r="G187" s="2">
        <v>2024</v>
      </c>
      <c r="H187" s="3">
        <v>30371</v>
      </c>
      <c r="I187" s="3">
        <v>2436280.0204587728</v>
      </c>
      <c r="J187" s="4">
        <f>Table13[[#This Row],[Unique Visitors]]/Table13[[#This Row],[Sales]]</f>
        <v>80.217313241538733</v>
      </c>
      <c r="K187" s="5">
        <f>Table13[[#This Row],[Sales]]/Table13[[#This Row],[Unique Visitors]]</f>
        <v>1.2466136792551817E-2</v>
      </c>
      <c r="L187"/>
    </row>
    <row r="188" spans="1:12" x14ac:dyDescent="0.2">
      <c r="A188" s="2" t="s">
        <v>11</v>
      </c>
      <c r="B188" s="2" t="s">
        <v>39</v>
      </c>
      <c r="C188" s="2" t="s">
        <v>69</v>
      </c>
      <c r="D188" s="2" t="s">
        <v>73</v>
      </c>
      <c r="E188" s="2" t="s">
        <v>75</v>
      </c>
      <c r="F188" s="2" t="s">
        <v>77</v>
      </c>
      <c r="G188" s="2">
        <v>2025</v>
      </c>
      <c r="H188" s="3">
        <v>30294</v>
      </c>
      <c r="I188" s="3">
        <v>1670352.2141517641</v>
      </c>
      <c r="J188" s="4">
        <f>Table13[[#This Row],[Unique Visitors]]/Table13[[#This Row],[Sales]]</f>
        <v>55.13805420716195</v>
      </c>
      <c r="K188" s="5">
        <f>Table13[[#This Row],[Sales]]/Table13[[#This Row],[Unique Visitors]]</f>
        <v>1.8136294694819116E-2</v>
      </c>
      <c r="L188"/>
    </row>
    <row r="189" spans="1:12" x14ac:dyDescent="0.2">
      <c r="A189" s="2" t="s">
        <v>63</v>
      </c>
      <c r="B189" s="2" t="s">
        <v>47</v>
      </c>
      <c r="C189" s="2" t="s">
        <v>63</v>
      </c>
      <c r="D189" s="2" t="s">
        <v>74</v>
      </c>
      <c r="E189" s="2" t="s">
        <v>75</v>
      </c>
      <c r="F189" s="2" t="s">
        <v>77</v>
      </c>
      <c r="G189" s="2">
        <v>2025</v>
      </c>
      <c r="H189" s="3">
        <v>29692</v>
      </c>
      <c r="I189" s="3">
        <v>6491443.4418628896</v>
      </c>
      <c r="J189" s="4">
        <f>Table13[[#This Row],[Unique Visitors]]/Table13[[#This Row],[Sales]]</f>
        <v>218.62600841515862</v>
      </c>
      <c r="K189" s="5">
        <f>Table13[[#This Row],[Sales]]/Table13[[#This Row],[Unique Visitors]]</f>
        <v>4.574021212064832E-3</v>
      </c>
      <c r="L189"/>
    </row>
    <row r="190" spans="1:12" x14ac:dyDescent="0.2">
      <c r="A190" s="2" t="s">
        <v>63</v>
      </c>
      <c r="B190" s="2" t="s">
        <v>43</v>
      </c>
      <c r="C190" s="2" t="s">
        <v>69</v>
      </c>
      <c r="D190" s="2" t="s">
        <v>73</v>
      </c>
      <c r="E190" s="2" t="s">
        <v>75</v>
      </c>
      <c r="F190" s="2" t="s">
        <v>77</v>
      </c>
      <c r="G190" s="2">
        <v>2024</v>
      </c>
      <c r="H190" s="3">
        <v>29529</v>
      </c>
      <c r="I190" s="3">
        <v>5380470.7149922447</v>
      </c>
      <c r="J190" s="4">
        <f>Table13[[#This Row],[Unique Visitors]]/Table13[[#This Row],[Sales]]</f>
        <v>182.20971638024466</v>
      </c>
      <c r="K190" s="5">
        <f>Table13[[#This Row],[Sales]]/Table13[[#This Row],[Unique Visitors]]</f>
        <v>5.488181529865006E-3</v>
      </c>
      <c r="L190"/>
    </row>
    <row r="191" spans="1:12" x14ac:dyDescent="0.2">
      <c r="A191" s="2" t="s">
        <v>65</v>
      </c>
      <c r="B191" s="2" t="s">
        <v>23</v>
      </c>
      <c r="C191" s="2" t="s">
        <v>67</v>
      </c>
      <c r="D191" s="2" t="s">
        <v>73</v>
      </c>
      <c r="E191" s="2" t="s">
        <v>75</v>
      </c>
      <c r="F191" s="2" t="s">
        <v>77</v>
      </c>
      <c r="G191" s="2">
        <v>2025</v>
      </c>
      <c r="H191" s="3">
        <v>29065</v>
      </c>
      <c r="I191" s="3">
        <v>3688708.9725775165</v>
      </c>
      <c r="J191" s="4">
        <f>Table13[[#This Row],[Unique Visitors]]/Table13[[#This Row],[Sales]]</f>
        <v>126.91240229064223</v>
      </c>
      <c r="K191" s="5">
        <f>Table13[[#This Row],[Sales]]/Table13[[#This Row],[Unique Visitors]]</f>
        <v>7.8794505655160399E-3</v>
      </c>
      <c r="L191"/>
    </row>
    <row r="192" spans="1:12" x14ac:dyDescent="0.2">
      <c r="A192" s="2" t="s">
        <v>61</v>
      </c>
      <c r="B192" s="2" t="s">
        <v>43</v>
      </c>
      <c r="C192" s="2" t="s">
        <v>69</v>
      </c>
      <c r="D192" s="2" t="s">
        <v>73</v>
      </c>
      <c r="E192" s="2" t="s">
        <v>75</v>
      </c>
      <c r="F192" s="2" t="s">
        <v>77</v>
      </c>
      <c r="G192" s="2">
        <v>2025</v>
      </c>
      <c r="H192" s="3">
        <v>28576</v>
      </c>
      <c r="I192" s="3">
        <v>3465380.5638797567</v>
      </c>
      <c r="J192" s="4">
        <f>Table13[[#This Row],[Unique Visitors]]/Table13[[#This Row],[Sales]]</f>
        <v>121.26891670911803</v>
      </c>
      <c r="K192" s="5">
        <f>Table13[[#This Row],[Sales]]/Table13[[#This Row],[Unique Visitors]]</f>
        <v>8.2461361669342887E-3</v>
      </c>
      <c r="L192"/>
    </row>
    <row r="193" spans="1:12" x14ac:dyDescent="0.2">
      <c r="A193" s="2" t="s">
        <v>11</v>
      </c>
      <c r="B193" s="2" t="s">
        <v>39</v>
      </c>
      <c r="C193" s="2" t="s">
        <v>69</v>
      </c>
      <c r="D193" s="2" t="s">
        <v>73</v>
      </c>
      <c r="E193" s="2" t="s">
        <v>75</v>
      </c>
      <c r="F193" s="2" t="s">
        <v>77</v>
      </c>
      <c r="G193" s="2">
        <v>2024</v>
      </c>
      <c r="H193" s="3">
        <v>28429</v>
      </c>
      <c r="I193" s="3">
        <v>1648632.4604406641</v>
      </c>
      <c r="J193" s="4">
        <f>Table13[[#This Row],[Unique Visitors]]/Table13[[#This Row],[Sales]]</f>
        <v>57.991222358882268</v>
      </c>
      <c r="K193" s="5">
        <f>Table13[[#This Row],[Sales]]/Table13[[#This Row],[Unique Visitors]]</f>
        <v>1.7243988992186404E-2</v>
      </c>
      <c r="L193"/>
    </row>
    <row r="194" spans="1:12" x14ac:dyDescent="0.2">
      <c r="A194" s="2" t="s">
        <v>11</v>
      </c>
      <c r="B194" s="2" t="s">
        <v>19</v>
      </c>
      <c r="C194" s="2" t="s">
        <v>66</v>
      </c>
      <c r="D194" s="2" t="s">
        <v>73</v>
      </c>
      <c r="E194" s="2" t="s">
        <v>75</v>
      </c>
      <c r="F194" s="2" t="s">
        <v>77</v>
      </c>
      <c r="G194" s="2">
        <v>2025</v>
      </c>
      <c r="H194" s="3">
        <v>28397</v>
      </c>
      <c r="I194" s="3">
        <v>2584918.3225215608</v>
      </c>
      <c r="J194" s="4">
        <f>Table13[[#This Row],[Unique Visitors]]/Table13[[#This Row],[Sales]]</f>
        <v>91.027866412704185</v>
      </c>
      <c r="K194" s="5">
        <f>Table13[[#This Row],[Sales]]/Table13[[#This Row],[Unique Visitors]]</f>
        <v>1.0985646916804329E-2</v>
      </c>
      <c r="L194"/>
    </row>
    <row r="195" spans="1:12" x14ac:dyDescent="0.2">
      <c r="A195" s="2" t="s">
        <v>61</v>
      </c>
      <c r="B195" s="2" t="s">
        <v>43</v>
      </c>
      <c r="C195" s="2" t="s">
        <v>69</v>
      </c>
      <c r="D195" s="2" t="s">
        <v>73</v>
      </c>
      <c r="E195" s="2" t="s">
        <v>75</v>
      </c>
      <c r="F195" s="2" t="s">
        <v>77</v>
      </c>
      <c r="G195" s="2">
        <v>2024</v>
      </c>
      <c r="H195" s="3">
        <v>28371</v>
      </c>
      <c r="I195" s="3">
        <v>4118475.1969124214</v>
      </c>
      <c r="J195" s="4">
        <f>Table13[[#This Row],[Unique Visitors]]/Table13[[#This Row],[Sales]]</f>
        <v>145.16496411520291</v>
      </c>
      <c r="K195" s="5">
        <f>Table13[[#This Row],[Sales]]/Table13[[#This Row],[Unique Visitors]]</f>
        <v>6.8887145468957654E-3</v>
      </c>
      <c r="L195"/>
    </row>
    <row r="196" spans="1:12" x14ac:dyDescent="0.2">
      <c r="A196" s="2" t="s">
        <v>60</v>
      </c>
      <c r="B196" s="2" t="s">
        <v>12</v>
      </c>
      <c r="C196" s="2" t="s">
        <v>60</v>
      </c>
      <c r="D196" s="2" t="s">
        <v>72</v>
      </c>
      <c r="E196" s="2" t="s">
        <v>75</v>
      </c>
      <c r="F196" s="2" t="s">
        <v>77</v>
      </c>
      <c r="G196" s="2">
        <v>2025</v>
      </c>
      <c r="H196" s="3">
        <v>28202</v>
      </c>
      <c r="I196" s="3">
        <v>2006329.421343259</v>
      </c>
      <c r="J196" s="4">
        <f>Table13[[#This Row],[Unique Visitors]]/Table13[[#This Row],[Sales]]</f>
        <v>71.141387892463626</v>
      </c>
      <c r="K196" s="5">
        <f>Table13[[#This Row],[Sales]]/Table13[[#This Row],[Unique Visitors]]</f>
        <v>1.4056515196352181E-2</v>
      </c>
      <c r="L196"/>
    </row>
    <row r="197" spans="1:12" x14ac:dyDescent="0.2">
      <c r="A197" s="2" t="s">
        <v>65</v>
      </c>
      <c r="B197" s="2" t="s">
        <v>18</v>
      </c>
      <c r="C197" s="2" t="s">
        <v>65</v>
      </c>
      <c r="D197" s="2" t="s">
        <v>73</v>
      </c>
      <c r="E197" s="2" t="s">
        <v>75</v>
      </c>
      <c r="F197" s="2" t="s">
        <v>77</v>
      </c>
      <c r="G197" s="2">
        <v>2025</v>
      </c>
      <c r="H197" s="3">
        <v>26589</v>
      </c>
      <c r="I197" s="3">
        <v>6856588.7733351225</v>
      </c>
      <c r="J197" s="4">
        <f>Table13[[#This Row],[Unique Visitors]]/Table13[[#This Row],[Sales]]</f>
        <v>257.87313450431088</v>
      </c>
      <c r="K197" s="5">
        <f>Table13[[#This Row],[Sales]]/Table13[[#This Row],[Unique Visitors]]</f>
        <v>3.8778758474480902E-3</v>
      </c>
      <c r="L197"/>
    </row>
    <row r="198" spans="1:12" x14ac:dyDescent="0.2">
      <c r="A198" s="2" t="s">
        <v>65</v>
      </c>
      <c r="B198" s="2" t="s">
        <v>80</v>
      </c>
      <c r="C198" s="2" t="s">
        <v>62</v>
      </c>
      <c r="D198" s="2" t="s">
        <v>73</v>
      </c>
      <c r="E198" s="2" t="s">
        <v>75</v>
      </c>
      <c r="F198" s="2" t="s">
        <v>77</v>
      </c>
      <c r="G198" s="2">
        <v>2025</v>
      </c>
      <c r="H198" s="3">
        <v>26549</v>
      </c>
      <c r="I198" s="2">
        <v>2878000</v>
      </c>
      <c r="J198" s="4">
        <f>Table13[[#This Row],[Unique Visitors]]/Table13[[#This Row],[Sales]]</f>
        <v>108.40332969226714</v>
      </c>
      <c r="K198" s="5">
        <f>Table13[[#This Row],[Sales]]/Table13[[#This Row],[Unique Visitors]]</f>
        <v>9.2248088950660188E-3</v>
      </c>
      <c r="L198"/>
    </row>
    <row r="199" spans="1:12" x14ac:dyDescent="0.2">
      <c r="A199" s="2" t="s">
        <v>63</v>
      </c>
      <c r="B199" s="2" t="s">
        <v>41</v>
      </c>
      <c r="C199" s="2" t="s">
        <v>64</v>
      </c>
      <c r="D199" s="2" t="s">
        <v>73</v>
      </c>
      <c r="E199" s="2" t="s">
        <v>75</v>
      </c>
      <c r="F199" s="2" t="s">
        <v>78</v>
      </c>
      <c r="G199" s="2">
        <v>2025</v>
      </c>
      <c r="H199" s="3">
        <v>26479</v>
      </c>
      <c r="I199" s="3">
        <v>819254.06647270976</v>
      </c>
      <c r="J199" s="4">
        <f>Table13[[#This Row],[Unique Visitors]]/Table13[[#This Row],[Sales]]</f>
        <v>30.939766096631661</v>
      </c>
      <c r="K199" s="5">
        <f>Table13[[#This Row],[Sales]]/Table13[[#This Row],[Unique Visitors]]</f>
        <v>3.2320864898486339E-2</v>
      </c>
      <c r="L199"/>
    </row>
    <row r="200" spans="1:12" x14ac:dyDescent="0.2">
      <c r="A200" s="2" t="s">
        <v>61</v>
      </c>
      <c r="B200" s="2" t="s">
        <v>42</v>
      </c>
      <c r="C200" s="2" t="s">
        <v>62</v>
      </c>
      <c r="D200" s="2" t="s">
        <v>73</v>
      </c>
      <c r="E200" s="2" t="s">
        <v>75</v>
      </c>
      <c r="F200" s="2" t="s">
        <v>77</v>
      </c>
      <c r="G200" s="2">
        <v>2025</v>
      </c>
      <c r="H200" s="3">
        <v>26302</v>
      </c>
      <c r="I200" s="3">
        <v>1641439.3921767198</v>
      </c>
      <c r="J200" s="4">
        <f>Table13[[#This Row],[Unique Visitors]]/Table13[[#This Row],[Sales]]</f>
        <v>62.407398379466194</v>
      </c>
      <c r="K200" s="5">
        <f>Table13[[#This Row],[Sales]]/Table13[[#This Row],[Unique Visitors]]</f>
        <v>1.6023741190419955E-2</v>
      </c>
      <c r="L200"/>
    </row>
    <row r="201" spans="1:12" x14ac:dyDescent="0.2">
      <c r="A201" s="2" t="s">
        <v>65</v>
      </c>
      <c r="B201" s="2" t="s">
        <v>80</v>
      </c>
      <c r="C201" s="2" t="s">
        <v>62</v>
      </c>
      <c r="D201" s="2" t="s">
        <v>73</v>
      </c>
      <c r="E201" s="2" t="s">
        <v>75</v>
      </c>
      <c r="F201" s="2" t="s">
        <v>77</v>
      </c>
      <c r="G201" s="2">
        <v>2024</v>
      </c>
      <c r="H201" s="3">
        <v>25719</v>
      </c>
      <c r="I201" s="2">
        <v>3295000</v>
      </c>
      <c r="J201" s="4">
        <f>Table13[[#This Row],[Unique Visitors]]/Table13[[#This Row],[Sales]]</f>
        <v>128.11540106536023</v>
      </c>
      <c r="K201" s="5">
        <f>Table13[[#This Row],[Sales]]/Table13[[#This Row],[Unique Visitors]]</f>
        <v>7.8054628224582699E-3</v>
      </c>
      <c r="L201"/>
    </row>
    <row r="202" spans="1:12" x14ac:dyDescent="0.2">
      <c r="A202" s="2" t="s">
        <v>65</v>
      </c>
      <c r="B202" s="2" t="s">
        <v>23</v>
      </c>
      <c r="C202" s="2" t="s">
        <v>67</v>
      </c>
      <c r="D202" s="2" t="s">
        <v>73</v>
      </c>
      <c r="E202" s="2" t="s">
        <v>75</v>
      </c>
      <c r="F202" s="2" t="s">
        <v>77</v>
      </c>
      <c r="G202" s="2">
        <v>2024</v>
      </c>
      <c r="H202" s="3">
        <v>25596</v>
      </c>
      <c r="I202" s="3">
        <v>4137491.2043317258</v>
      </c>
      <c r="J202" s="4">
        <f>Table13[[#This Row],[Unique Visitors]]/Table13[[#This Row],[Sales]]</f>
        <v>161.64600735785771</v>
      </c>
      <c r="K202" s="5">
        <f>Table13[[#This Row],[Sales]]/Table13[[#This Row],[Unique Visitors]]</f>
        <v>6.1863575620903785E-3</v>
      </c>
      <c r="L202"/>
    </row>
    <row r="203" spans="1:12" x14ac:dyDescent="0.2">
      <c r="A203" s="2" t="s">
        <v>63</v>
      </c>
      <c r="B203" s="2" t="s">
        <v>53</v>
      </c>
      <c r="C203" s="2" t="s">
        <v>69</v>
      </c>
      <c r="D203" s="2" t="s">
        <v>73</v>
      </c>
      <c r="E203" s="2" t="s">
        <v>75</v>
      </c>
      <c r="F203" s="2" t="s">
        <v>77</v>
      </c>
      <c r="G203" s="2">
        <v>2024</v>
      </c>
      <c r="H203" s="3">
        <v>25566</v>
      </c>
      <c r="I203" s="3">
        <v>3404472.0525568258</v>
      </c>
      <c r="J203" s="4">
        <f>Table13[[#This Row],[Unique Visitors]]/Table13[[#This Row],[Sales]]</f>
        <v>133.16404805432316</v>
      </c>
      <c r="K203" s="5">
        <f>Table13[[#This Row],[Sales]]/Table13[[#This Row],[Unique Visitors]]</f>
        <v>7.5095344021988454E-3</v>
      </c>
      <c r="L203"/>
    </row>
    <row r="204" spans="1:12" x14ac:dyDescent="0.2">
      <c r="A204" s="2" t="s">
        <v>65</v>
      </c>
      <c r="B204" s="2" t="s">
        <v>16</v>
      </c>
      <c r="C204" s="2" t="s">
        <v>64</v>
      </c>
      <c r="D204" s="2" t="s">
        <v>72</v>
      </c>
      <c r="E204" s="2" t="s">
        <v>75</v>
      </c>
      <c r="F204" s="2" t="s">
        <v>78</v>
      </c>
      <c r="G204" s="2">
        <v>2025</v>
      </c>
      <c r="H204" s="3">
        <v>25556</v>
      </c>
      <c r="I204" s="3">
        <v>2525276.2652549949</v>
      </c>
      <c r="J204" s="4">
        <f>Table13[[#This Row],[Unique Visitors]]/Table13[[#This Row],[Sales]]</f>
        <v>98.813439711026561</v>
      </c>
      <c r="K204" s="5">
        <f>Table13[[#This Row],[Sales]]/Table13[[#This Row],[Unique Visitors]]</f>
        <v>1.0120080860705129E-2</v>
      </c>
      <c r="L204"/>
    </row>
    <row r="205" spans="1:12" x14ac:dyDescent="0.2">
      <c r="A205" s="2" t="s">
        <v>61</v>
      </c>
      <c r="B205" s="2" t="s">
        <v>54</v>
      </c>
      <c r="C205" s="2" t="s">
        <v>67</v>
      </c>
      <c r="D205" s="2" t="s">
        <v>72</v>
      </c>
      <c r="E205" s="2" t="s">
        <v>76</v>
      </c>
      <c r="F205" s="2" t="s">
        <v>78</v>
      </c>
      <c r="G205" s="2">
        <v>2025</v>
      </c>
      <c r="H205" s="3">
        <v>25460</v>
      </c>
      <c r="I205" s="3">
        <v>2999051.8719910053</v>
      </c>
      <c r="J205" s="4">
        <f>Table13[[#This Row],[Unique Visitors]]/Table13[[#This Row],[Sales]]</f>
        <v>117.79465325966243</v>
      </c>
      <c r="K205" s="5">
        <f>Table13[[#This Row],[Sales]]/Table13[[#This Row],[Unique Visitors]]</f>
        <v>8.4893496633980051E-3</v>
      </c>
      <c r="L205"/>
    </row>
    <row r="206" spans="1:12" x14ac:dyDescent="0.2">
      <c r="A206" s="2" t="s">
        <v>11</v>
      </c>
      <c r="B206" s="2" t="s">
        <v>28</v>
      </c>
      <c r="C206" s="2" t="s">
        <v>64</v>
      </c>
      <c r="D206" s="2" t="s">
        <v>73</v>
      </c>
      <c r="E206" s="2" t="s">
        <v>75</v>
      </c>
      <c r="F206" s="2" t="s">
        <v>78</v>
      </c>
      <c r="G206" s="2">
        <v>2025</v>
      </c>
      <c r="H206" s="3">
        <v>24418</v>
      </c>
      <c r="I206" s="3">
        <v>1365000</v>
      </c>
      <c r="J206" s="4">
        <f>Table13[[#This Row],[Unique Visitors]]/Table13[[#This Row],[Sales]]</f>
        <v>55.901384224752235</v>
      </c>
      <c r="K206" s="5">
        <f>Table13[[#This Row],[Sales]]/Table13[[#This Row],[Unique Visitors]]</f>
        <v>1.7888644688644689E-2</v>
      </c>
      <c r="L206"/>
    </row>
    <row r="207" spans="1:12" x14ac:dyDescent="0.2">
      <c r="A207" s="2" t="s">
        <v>61</v>
      </c>
      <c r="B207" s="2" t="s">
        <v>53</v>
      </c>
      <c r="C207" s="2" t="s">
        <v>69</v>
      </c>
      <c r="D207" s="2" t="s">
        <v>73</v>
      </c>
      <c r="E207" s="2" t="s">
        <v>75</v>
      </c>
      <c r="F207" s="2" t="s">
        <v>77</v>
      </c>
      <c r="G207" s="2">
        <v>2024</v>
      </c>
      <c r="H207" s="3">
        <v>24093</v>
      </c>
      <c r="I207" s="3">
        <v>1556618.0653883093</v>
      </c>
      <c r="J207" s="4">
        <f>Table13[[#This Row],[Unique Visitors]]/Table13[[#This Row],[Sales]]</f>
        <v>64.608727239792032</v>
      </c>
      <c r="K207" s="5">
        <f>Table13[[#This Row],[Sales]]/Table13[[#This Row],[Unique Visitors]]</f>
        <v>1.5477785164975477E-2</v>
      </c>
      <c r="L207"/>
    </row>
    <row r="208" spans="1:12" x14ac:dyDescent="0.2">
      <c r="A208" s="2" t="s">
        <v>60</v>
      </c>
      <c r="B208" s="2" t="s">
        <v>16</v>
      </c>
      <c r="C208" s="2" t="s">
        <v>64</v>
      </c>
      <c r="D208" s="2" t="s">
        <v>72</v>
      </c>
      <c r="E208" s="2" t="s">
        <v>75</v>
      </c>
      <c r="F208" s="2" t="s">
        <v>78</v>
      </c>
      <c r="G208" s="2">
        <v>2025</v>
      </c>
      <c r="H208" s="3">
        <v>23621</v>
      </c>
      <c r="I208" s="3">
        <v>3516805.7967403573</v>
      </c>
      <c r="J208" s="4">
        <f>Table13[[#This Row],[Unique Visitors]]/Table13[[#This Row],[Sales]]</f>
        <v>148.88471261760117</v>
      </c>
      <c r="K208" s="5">
        <f>Table13[[#This Row],[Sales]]/Table13[[#This Row],[Unique Visitors]]</f>
        <v>6.7166063084557401E-3</v>
      </c>
      <c r="L208"/>
    </row>
    <row r="209" spans="1:15" x14ac:dyDescent="0.2">
      <c r="A209" s="2" t="s">
        <v>63</v>
      </c>
      <c r="B209" s="2" t="s">
        <v>16</v>
      </c>
      <c r="C209" s="2" t="s">
        <v>64</v>
      </c>
      <c r="D209" s="2" t="s">
        <v>72</v>
      </c>
      <c r="E209" s="2" t="s">
        <v>75</v>
      </c>
      <c r="F209" s="2" t="s">
        <v>78</v>
      </c>
      <c r="G209" s="2">
        <v>2025</v>
      </c>
      <c r="H209" s="3">
        <v>23306</v>
      </c>
      <c r="I209" s="3">
        <v>1818121.3475000705</v>
      </c>
      <c r="J209" s="4">
        <f>Table13[[#This Row],[Unique Visitors]]/Table13[[#This Row],[Sales]]</f>
        <v>78.010870483998559</v>
      </c>
      <c r="K209" s="5">
        <f>Table13[[#This Row],[Sales]]/Table13[[#This Row],[Unique Visitors]]</f>
        <v>1.2818726336416385E-2</v>
      </c>
      <c r="L209"/>
    </row>
    <row r="210" spans="1:15" x14ac:dyDescent="0.2">
      <c r="A210" s="2" t="s">
        <v>11</v>
      </c>
      <c r="B210" s="2" t="s">
        <v>53</v>
      </c>
      <c r="C210" s="2" t="s">
        <v>69</v>
      </c>
      <c r="D210" s="2" t="s">
        <v>73</v>
      </c>
      <c r="E210" s="2" t="s">
        <v>75</v>
      </c>
      <c r="F210" s="2" t="s">
        <v>77</v>
      </c>
      <c r="G210" s="2">
        <v>2024</v>
      </c>
      <c r="H210" s="3">
        <v>23059</v>
      </c>
      <c r="I210" s="3">
        <v>2309198.6363209658</v>
      </c>
      <c r="J210" s="4">
        <f>Table13[[#This Row],[Unique Visitors]]/Table13[[#This Row],[Sales]]</f>
        <v>100.14305201097038</v>
      </c>
      <c r="K210" s="5">
        <f>Table13[[#This Row],[Sales]]/Table13[[#This Row],[Unique Visitors]]</f>
        <v>9.9857152335486345E-3</v>
      </c>
      <c r="L210"/>
    </row>
    <row r="211" spans="1:15" x14ac:dyDescent="0.2">
      <c r="A211" s="2" t="s">
        <v>11</v>
      </c>
      <c r="B211" s="2" t="s">
        <v>49</v>
      </c>
      <c r="C211" s="2" t="s">
        <v>65</v>
      </c>
      <c r="D211" s="2" t="s">
        <v>73</v>
      </c>
      <c r="E211" s="2" t="s">
        <v>75</v>
      </c>
      <c r="F211" s="2" t="s">
        <v>77</v>
      </c>
      <c r="G211" s="2">
        <v>2024</v>
      </c>
      <c r="H211" s="3">
        <v>23018</v>
      </c>
      <c r="I211" s="3">
        <v>1843561.221289841</v>
      </c>
      <c r="J211" s="4">
        <f>Table13[[#This Row],[Unique Visitors]]/Table13[[#This Row],[Sales]]</f>
        <v>80.092154891382435</v>
      </c>
      <c r="K211" s="5">
        <f>Table13[[#This Row],[Sales]]/Table13[[#This Row],[Unique Visitors]]</f>
        <v>1.2485617366097308E-2</v>
      </c>
      <c r="L211"/>
    </row>
    <row r="212" spans="1:15" x14ac:dyDescent="0.2">
      <c r="A212" s="2" t="s">
        <v>60</v>
      </c>
      <c r="B212" s="2" t="s">
        <v>12</v>
      </c>
      <c r="C212" s="2" t="s">
        <v>60</v>
      </c>
      <c r="D212" s="2" t="s">
        <v>72</v>
      </c>
      <c r="E212" s="2" t="s">
        <v>75</v>
      </c>
      <c r="F212" s="2" t="s">
        <v>77</v>
      </c>
      <c r="G212" s="2">
        <v>2024</v>
      </c>
      <c r="H212" s="3">
        <v>22878</v>
      </c>
      <c r="I212" s="3">
        <v>2193368.0770302559</v>
      </c>
      <c r="J212" s="4">
        <f>Table13[[#This Row],[Unique Visitors]]/Table13[[#This Row],[Sales]]</f>
        <v>95.87236983260145</v>
      </c>
      <c r="K212" s="5">
        <f>Table13[[#This Row],[Sales]]/Table13[[#This Row],[Unique Visitors]]</f>
        <v>1.0430533862321921E-2</v>
      </c>
      <c r="L212"/>
    </row>
    <row r="213" spans="1:15" x14ac:dyDescent="0.2">
      <c r="A213" s="2" t="s">
        <v>60</v>
      </c>
      <c r="B213" s="2" t="s">
        <v>18</v>
      </c>
      <c r="C213" s="2" t="s">
        <v>65</v>
      </c>
      <c r="D213" s="2" t="s">
        <v>73</v>
      </c>
      <c r="E213" s="2" t="s">
        <v>75</v>
      </c>
      <c r="F213" s="2" t="s">
        <v>77</v>
      </c>
      <c r="G213" s="2">
        <v>2025</v>
      </c>
      <c r="H213" s="3">
        <v>22663</v>
      </c>
      <c r="I213" s="3">
        <v>2713744.716133134</v>
      </c>
      <c r="J213" s="4">
        <f>Table13[[#This Row],[Unique Visitors]]/Table13[[#This Row],[Sales]]</f>
        <v>119.74340185029051</v>
      </c>
      <c r="K213" s="5">
        <f>Table13[[#This Row],[Sales]]/Table13[[#This Row],[Unique Visitors]]</f>
        <v>8.3511908342996013E-3</v>
      </c>
      <c r="L213"/>
    </row>
    <row r="214" spans="1:15" x14ac:dyDescent="0.2">
      <c r="A214" s="2" t="s">
        <v>65</v>
      </c>
      <c r="B214" s="2" t="s">
        <v>18</v>
      </c>
      <c r="C214" s="2" t="s">
        <v>65</v>
      </c>
      <c r="D214" s="2" t="s">
        <v>73</v>
      </c>
      <c r="E214" s="2" t="s">
        <v>75</v>
      </c>
      <c r="F214" s="2" t="s">
        <v>77</v>
      </c>
      <c r="G214" s="2">
        <v>2024</v>
      </c>
      <c r="H214" s="3">
        <v>22431</v>
      </c>
      <c r="I214" s="3">
        <v>6332796.2401518319</v>
      </c>
      <c r="J214" s="4">
        <f>Table13[[#This Row],[Unique Visitors]]/Table13[[#This Row],[Sales]]</f>
        <v>282.32340244090017</v>
      </c>
      <c r="K214" s="5">
        <f>Table13[[#This Row],[Sales]]/Table13[[#This Row],[Unique Visitors]]</f>
        <v>3.5420372216905887E-3</v>
      </c>
      <c r="L214"/>
    </row>
    <row r="215" spans="1:15" x14ac:dyDescent="0.2">
      <c r="A215" s="2" t="s">
        <v>63</v>
      </c>
      <c r="B215" s="2" t="s">
        <v>53</v>
      </c>
      <c r="C215" s="2" t="s">
        <v>69</v>
      </c>
      <c r="D215" s="2" t="s">
        <v>73</v>
      </c>
      <c r="E215" s="2" t="s">
        <v>75</v>
      </c>
      <c r="F215" s="2" t="s">
        <v>77</v>
      </c>
      <c r="G215" s="2">
        <v>2025</v>
      </c>
      <c r="H215" s="3">
        <v>22369</v>
      </c>
      <c r="I215" s="3">
        <v>2662036.3609101018</v>
      </c>
      <c r="J215" s="4">
        <f>Table13[[#This Row],[Unique Visitors]]/Table13[[#This Row],[Sales]]</f>
        <v>119.00560422504813</v>
      </c>
      <c r="K215" s="5">
        <f>Table13[[#This Row],[Sales]]/Table13[[#This Row],[Unique Visitors]]</f>
        <v>8.4029656125179462E-3</v>
      </c>
      <c r="L215"/>
    </row>
    <row r="216" spans="1:15" x14ac:dyDescent="0.2">
      <c r="A216" s="2" t="s">
        <v>11</v>
      </c>
      <c r="B216" s="2" t="s">
        <v>26</v>
      </c>
      <c r="C216" s="2" t="s">
        <v>69</v>
      </c>
      <c r="D216" s="2" t="s">
        <v>73</v>
      </c>
      <c r="E216" s="2" t="s">
        <v>75</v>
      </c>
      <c r="F216" s="2" t="s">
        <v>77</v>
      </c>
      <c r="G216" s="2">
        <v>2025</v>
      </c>
      <c r="H216" s="3">
        <v>22330</v>
      </c>
      <c r="I216" s="3">
        <v>5320166.2051627189</v>
      </c>
      <c r="J216" s="4">
        <f>Table13[[#This Row],[Unique Visitors]]/Table13[[#This Row],[Sales]]</f>
        <v>238.25195723970975</v>
      </c>
      <c r="K216" s="5">
        <f>Table13[[#This Row],[Sales]]/Table13[[#This Row],[Unique Visitors]]</f>
        <v>4.1972372927618021E-3</v>
      </c>
      <c r="L216"/>
      <c r="O216" s="9"/>
    </row>
    <row r="217" spans="1:15" x14ac:dyDescent="0.2">
      <c r="A217" s="2" t="s">
        <v>11</v>
      </c>
      <c r="B217" s="2" t="s">
        <v>18</v>
      </c>
      <c r="C217" s="2" t="s">
        <v>65</v>
      </c>
      <c r="D217" s="2" t="s">
        <v>73</v>
      </c>
      <c r="E217" s="2" t="s">
        <v>75</v>
      </c>
      <c r="F217" s="2" t="s">
        <v>77</v>
      </c>
      <c r="G217" s="2">
        <v>2024</v>
      </c>
      <c r="H217" s="3">
        <v>21972</v>
      </c>
      <c r="I217" s="3">
        <v>1906384.358305274</v>
      </c>
      <c r="J217" s="4">
        <f>Table13[[#This Row],[Unique Visitors]]/Table13[[#This Row],[Sales]]</f>
        <v>86.764261710598674</v>
      </c>
      <c r="K217" s="5">
        <f>Table13[[#This Row],[Sales]]/Table13[[#This Row],[Unique Visitors]]</f>
        <v>1.1525482730844758E-2</v>
      </c>
      <c r="L217"/>
    </row>
    <row r="218" spans="1:15" x14ac:dyDescent="0.2">
      <c r="A218" s="2" t="s">
        <v>63</v>
      </c>
      <c r="B218" s="2" t="s">
        <v>41</v>
      </c>
      <c r="C218" s="2" t="s">
        <v>64</v>
      </c>
      <c r="D218" s="2" t="s">
        <v>73</v>
      </c>
      <c r="E218" s="2" t="s">
        <v>75</v>
      </c>
      <c r="F218" s="2" t="s">
        <v>78</v>
      </c>
      <c r="G218" s="2">
        <v>2024</v>
      </c>
      <c r="H218" s="3">
        <v>20977</v>
      </c>
      <c r="I218" s="3">
        <v>860084.92983287666</v>
      </c>
      <c r="J218" s="4">
        <f>Table13[[#This Row],[Unique Visitors]]/Table13[[#This Row],[Sales]]</f>
        <v>41.001331450296831</v>
      </c>
      <c r="K218" s="5">
        <f>Table13[[#This Row],[Sales]]/Table13[[#This Row],[Unique Visitors]]</f>
        <v>2.4389451869684598E-2</v>
      </c>
      <c r="L218"/>
    </row>
    <row r="219" spans="1:15" x14ac:dyDescent="0.2">
      <c r="A219" s="2" t="s">
        <v>61</v>
      </c>
      <c r="B219" s="2" t="s">
        <v>22</v>
      </c>
      <c r="C219" s="2" t="s">
        <v>60</v>
      </c>
      <c r="D219" s="2" t="s">
        <v>73</v>
      </c>
      <c r="E219" s="2" t="s">
        <v>75</v>
      </c>
      <c r="F219" s="2" t="s">
        <v>77</v>
      </c>
      <c r="G219" s="2">
        <v>2025</v>
      </c>
      <c r="H219" s="3">
        <v>20255</v>
      </c>
      <c r="I219" s="3">
        <v>1594626.4607348926</v>
      </c>
      <c r="J219" s="4">
        <f>Table13[[#This Row],[Unique Visitors]]/Table13[[#This Row],[Sales]]</f>
        <v>78.727546814855231</v>
      </c>
      <c r="K219" s="5">
        <f>Table13[[#This Row],[Sales]]/Table13[[#This Row],[Unique Visitors]]</f>
        <v>1.2702034300036242E-2</v>
      </c>
      <c r="L219"/>
    </row>
    <row r="220" spans="1:15" x14ac:dyDescent="0.2">
      <c r="A220" s="2" t="s">
        <v>61</v>
      </c>
      <c r="B220" s="2" t="s">
        <v>53</v>
      </c>
      <c r="C220" s="2" t="s">
        <v>69</v>
      </c>
      <c r="D220" s="2" t="s">
        <v>73</v>
      </c>
      <c r="E220" s="2" t="s">
        <v>75</v>
      </c>
      <c r="F220" s="2" t="s">
        <v>77</v>
      </c>
      <c r="G220" s="2">
        <v>2025</v>
      </c>
      <c r="H220" s="3">
        <v>20173</v>
      </c>
      <c r="I220" s="3">
        <v>1635004.1062119061</v>
      </c>
      <c r="J220" s="4">
        <f>Table13[[#This Row],[Unique Visitors]]/Table13[[#This Row],[Sales]]</f>
        <v>81.049130333213014</v>
      </c>
      <c r="K220" s="5">
        <f>Table13[[#This Row],[Sales]]/Table13[[#This Row],[Unique Visitors]]</f>
        <v>1.2338195313000309E-2</v>
      </c>
      <c r="L220"/>
    </row>
    <row r="221" spans="1:15" x14ac:dyDescent="0.2">
      <c r="A221" s="2" t="s">
        <v>11</v>
      </c>
      <c r="B221" s="2" t="s">
        <v>47</v>
      </c>
      <c r="C221" s="2" t="s">
        <v>63</v>
      </c>
      <c r="D221" s="2" t="s">
        <v>74</v>
      </c>
      <c r="E221" s="2" t="s">
        <v>75</v>
      </c>
      <c r="F221" s="2" t="s">
        <v>77</v>
      </c>
      <c r="G221" s="2">
        <v>2024</v>
      </c>
      <c r="H221" s="3">
        <v>20000</v>
      </c>
      <c r="I221" s="3">
        <v>3166811.2249847832</v>
      </c>
      <c r="J221" s="4">
        <f>Table13[[#This Row],[Unique Visitors]]/Table13[[#This Row],[Sales]]</f>
        <v>158.34056124923916</v>
      </c>
      <c r="K221" s="5">
        <f>Table13[[#This Row],[Sales]]/Table13[[#This Row],[Unique Visitors]]</f>
        <v>6.3155011710860987E-3</v>
      </c>
      <c r="L221"/>
    </row>
    <row r="222" spans="1:15" x14ac:dyDescent="0.2">
      <c r="A222" s="2" t="s">
        <v>61</v>
      </c>
      <c r="B222" s="2" t="s">
        <v>57</v>
      </c>
      <c r="C222" s="2" t="s">
        <v>70</v>
      </c>
      <c r="D222" s="2" t="s">
        <v>72</v>
      </c>
      <c r="E222" s="2" t="s">
        <v>75</v>
      </c>
      <c r="F222" s="2" t="s">
        <v>77</v>
      </c>
      <c r="G222" s="2">
        <v>2024</v>
      </c>
      <c r="H222" s="3">
        <v>19793</v>
      </c>
      <c r="I222" s="3">
        <v>1387857.4483197937</v>
      </c>
      <c r="J222" s="4">
        <f>Table13[[#This Row],[Unique Visitors]]/Table13[[#This Row],[Sales]]</f>
        <v>70.118599925215662</v>
      </c>
      <c r="K222" s="5">
        <f>Table13[[#This Row],[Sales]]/Table13[[#This Row],[Unique Visitors]]</f>
        <v>1.4261551158559078E-2</v>
      </c>
      <c r="L222"/>
    </row>
    <row r="223" spans="1:15" x14ac:dyDescent="0.2">
      <c r="A223" s="2" t="s">
        <v>61</v>
      </c>
      <c r="B223" s="2" t="s">
        <v>42</v>
      </c>
      <c r="C223" s="2" t="s">
        <v>62</v>
      </c>
      <c r="D223" s="2" t="s">
        <v>73</v>
      </c>
      <c r="E223" s="2" t="s">
        <v>75</v>
      </c>
      <c r="F223" s="2" t="s">
        <v>77</v>
      </c>
      <c r="G223" s="2">
        <v>2024</v>
      </c>
      <c r="H223" s="3">
        <v>19566</v>
      </c>
      <c r="I223" s="3">
        <v>3044705.5722940578</v>
      </c>
      <c r="J223" s="4">
        <f>Table13[[#This Row],[Unique Visitors]]/Table13[[#This Row],[Sales]]</f>
        <v>155.61206032372777</v>
      </c>
      <c r="K223" s="5">
        <f>Table13[[#This Row],[Sales]]/Table13[[#This Row],[Unique Visitors]]</f>
        <v>6.4262371304617937E-3</v>
      </c>
      <c r="L223"/>
      <c r="O223" s="10"/>
    </row>
    <row r="224" spans="1:15" x14ac:dyDescent="0.2">
      <c r="A224" s="2" t="s">
        <v>63</v>
      </c>
      <c r="B224" s="2" t="s">
        <v>54</v>
      </c>
      <c r="C224" s="2" t="s">
        <v>67</v>
      </c>
      <c r="D224" s="2" t="s">
        <v>72</v>
      </c>
      <c r="E224" s="2" t="s">
        <v>76</v>
      </c>
      <c r="F224" s="2" t="s">
        <v>78</v>
      </c>
      <c r="G224" s="2">
        <v>2025</v>
      </c>
      <c r="H224" s="3">
        <v>19390</v>
      </c>
      <c r="I224" s="3">
        <v>4711268.2698648926</v>
      </c>
      <c r="J224" s="4">
        <f>Table13[[#This Row],[Unique Visitors]]/Table13[[#This Row],[Sales]]</f>
        <v>242.97412428390371</v>
      </c>
      <c r="K224" s="5">
        <f>Table13[[#This Row],[Sales]]/Table13[[#This Row],[Unique Visitors]]</f>
        <v>4.1156645916400041E-3</v>
      </c>
      <c r="L224"/>
    </row>
    <row r="225" spans="1:12" x14ac:dyDescent="0.2">
      <c r="A225" s="2" t="s">
        <v>60</v>
      </c>
      <c r="B225" s="2" t="s">
        <v>57</v>
      </c>
      <c r="C225" s="2" t="s">
        <v>70</v>
      </c>
      <c r="D225" s="2" t="s">
        <v>72</v>
      </c>
      <c r="E225" s="2" t="s">
        <v>75</v>
      </c>
      <c r="F225" s="2" t="s">
        <v>77</v>
      </c>
      <c r="G225" s="2">
        <v>2024</v>
      </c>
      <c r="H225" s="3">
        <v>19243</v>
      </c>
      <c r="I225" s="3">
        <v>1776617.1131353909</v>
      </c>
      <c r="J225" s="4">
        <f>Table13[[#This Row],[Unique Visitors]]/Table13[[#This Row],[Sales]]</f>
        <v>92.32537094711796</v>
      </c>
      <c r="K225" s="5">
        <f>Table13[[#This Row],[Sales]]/Table13[[#This Row],[Unique Visitors]]</f>
        <v>1.083125894585118E-2</v>
      </c>
      <c r="L225"/>
    </row>
    <row r="226" spans="1:12" x14ac:dyDescent="0.2">
      <c r="A226" s="2" t="s">
        <v>11</v>
      </c>
      <c r="B226" s="2" t="s">
        <v>17</v>
      </c>
      <c r="C226" s="2" t="s">
        <v>61</v>
      </c>
      <c r="D226" s="2" t="s">
        <v>73</v>
      </c>
      <c r="E226" s="2" t="s">
        <v>75</v>
      </c>
      <c r="F226" s="2" t="s">
        <v>77</v>
      </c>
      <c r="G226" s="2">
        <v>2025</v>
      </c>
      <c r="H226" s="3">
        <v>19084</v>
      </c>
      <c r="I226" s="3">
        <v>2471766.7987810429</v>
      </c>
      <c r="J226" s="4">
        <f>Table13[[#This Row],[Unique Visitors]]/Table13[[#This Row],[Sales]]</f>
        <v>129.5203730235298</v>
      </c>
      <c r="K226" s="5">
        <f>Table13[[#This Row],[Sales]]/Table13[[#This Row],[Unique Visitors]]</f>
        <v>7.7207930818600345E-3</v>
      </c>
      <c r="L226"/>
    </row>
    <row r="227" spans="1:12" x14ac:dyDescent="0.2">
      <c r="A227" s="2" t="s">
        <v>65</v>
      </c>
      <c r="B227" s="2" t="s">
        <v>39</v>
      </c>
      <c r="C227" s="2" t="s">
        <v>69</v>
      </c>
      <c r="D227" s="2" t="s">
        <v>73</v>
      </c>
      <c r="E227" s="2" t="s">
        <v>75</v>
      </c>
      <c r="F227" s="2" t="s">
        <v>77</v>
      </c>
      <c r="G227" s="2">
        <v>2025</v>
      </c>
      <c r="H227" s="3">
        <v>19003</v>
      </c>
      <c r="I227" s="3">
        <v>2440856.0441425312</v>
      </c>
      <c r="J227" s="4">
        <f>Table13[[#This Row],[Unique Visitors]]/Table13[[#This Row],[Sales]]</f>
        <v>128.44582666644905</v>
      </c>
      <c r="K227" s="5">
        <f>Table13[[#This Row],[Sales]]/Table13[[#This Row],[Unique Visitors]]</f>
        <v>7.7853833476179968E-3</v>
      </c>
      <c r="L227"/>
    </row>
    <row r="228" spans="1:12" x14ac:dyDescent="0.2">
      <c r="A228" s="2" t="s">
        <v>65</v>
      </c>
      <c r="B228" s="2" t="s">
        <v>57</v>
      </c>
      <c r="C228" s="2" t="s">
        <v>70</v>
      </c>
      <c r="D228" s="2" t="s">
        <v>72</v>
      </c>
      <c r="E228" s="2" t="s">
        <v>75</v>
      </c>
      <c r="F228" s="2" t="s">
        <v>77</v>
      </c>
      <c r="G228" s="2">
        <v>2024</v>
      </c>
      <c r="H228" s="3">
        <v>18178</v>
      </c>
      <c r="I228" s="3">
        <v>2662909.355351598</v>
      </c>
      <c r="J228" s="4">
        <f>Table13[[#This Row],[Unique Visitors]]/Table13[[#This Row],[Sales]]</f>
        <v>146.49077760763549</v>
      </c>
      <c r="K228" s="5">
        <f>Table13[[#This Row],[Sales]]/Table13[[#This Row],[Unique Visitors]]</f>
        <v>6.8263682965655666E-3</v>
      </c>
      <c r="L228"/>
    </row>
    <row r="229" spans="1:12" x14ac:dyDescent="0.2">
      <c r="A229" s="2" t="s">
        <v>11</v>
      </c>
      <c r="B229" s="2" t="s">
        <v>44</v>
      </c>
      <c r="C229" s="2" t="s">
        <v>64</v>
      </c>
      <c r="D229" s="2" t="s">
        <v>73</v>
      </c>
      <c r="E229" s="2" t="s">
        <v>75</v>
      </c>
      <c r="F229" s="2" t="s">
        <v>78</v>
      </c>
      <c r="G229" s="2">
        <v>2025</v>
      </c>
      <c r="H229" s="3">
        <v>18051</v>
      </c>
      <c r="I229" s="3">
        <v>724716</v>
      </c>
      <c r="J229" s="4">
        <f>Table13[[#This Row],[Unique Visitors]]/Table13[[#This Row],[Sales]]</f>
        <v>40.148246634535482</v>
      </c>
      <c r="K229" s="5">
        <f>Table13[[#This Row],[Sales]]/Table13[[#This Row],[Unique Visitors]]</f>
        <v>2.4907687977083436E-2</v>
      </c>
      <c r="L229"/>
    </row>
    <row r="230" spans="1:12" x14ac:dyDescent="0.2">
      <c r="A230" s="2" t="s">
        <v>61</v>
      </c>
      <c r="B230" s="2" t="s">
        <v>20</v>
      </c>
      <c r="C230" s="2" t="s">
        <v>61</v>
      </c>
      <c r="D230" s="2" t="s">
        <v>73</v>
      </c>
      <c r="E230" s="2" t="s">
        <v>75</v>
      </c>
      <c r="F230" s="2" t="s">
        <v>77</v>
      </c>
      <c r="G230" s="2">
        <v>2024</v>
      </c>
      <c r="H230" s="3">
        <v>18024</v>
      </c>
      <c r="I230" s="3">
        <v>1617825.5243597133</v>
      </c>
      <c r="J230" s="4">
        <f>Table13[[#This Row],[Unique Visitors]]/Table13[[#This Row],[Sales]]</f>
        <v>89.759516442505173</v>
      </c>
      <c r="K230" s="5">
        <f>Table13[[#This Row],[Sales]]/Table13[[#This Row],[Unique Visitors]]</f>
        <v>1.1140879982798736E-2</v>
      </c>
      <c r="L230"/>
    </row>
    <row r="231" spans="1:12" x14ac:dyDescent="0.2">
      <c r="A231" s="2" t="s">
        <v>65</v>
      </c>
      <c r="B231" s="2" t="s">
        <v>39</v>
      </c>
      <c r="C231" s="2" t="s">
        <v>69</v>
      </c>
      <c r="D231" s="2" t="s">
        <v>73</v>
      </c>
      <c r="E231" s="2" t="s">
        <v>75</v>
      </c>
      <c r="F231" s="2" t="s">
        <v>77</v>
      </c>
      <c r="G231" s="2">
        <v>2024</v>
      </c>
      <c r="H231" s="3">
        <v>17526</v>
      </c>
      <c r="I231" s="3">
        <v>1992031.8449334139</v>
      </c>
      <c r="J231" s="4">
        <f>Table13[[#This Row],[Unique Visitors]]/Table13[[#This Row],[Sales]]</f>
        <v>113.66152259120244</v>
      </c>
      <c r="K231" s="5">
        <f>Table13[[#This Row],[Sales]]/Table13[[#This Row],[Unique Visitors]]</f>
        <v>8.7980521217951857E-3</v>
      </c>
      <c r="L231"/>
    </row>
    <row r="232" spans="1:12" x14ac:dyDescent="0.2">
      <c r="A232" s="2" t="s">
        <v>11</v>
      </c>
      <c r="B232" s="2" t="s">
        <v>53</v>
      </c>
      <c r="C232" s="2" t="s">
        <v>69</v>
      </c>
      <c r="D232" s="2" t="s">
        <v>73</v>
      </c>
      <c r="E232" s="2" t="s">
        <v>75</v>
      </c>
      <c r="F232" s="2" t="s">
        <v>77</v>
      </c>
      <c r="G232" s="2">
        <v>2025</v>
      </c>
      <c r="H232" s="3">
        <v>17240</v>
      </c>
      <c r="I232" s="3">
        <v>1909304.6151189981</v>
      </c>
      <c r="J232" s="4">
        <f>Table13[[#This Row],[Unique Visitors]]/Table13[[#This Row],[Sales]]</f>
        <v>110.74852755910662</v>
      </c>
      <c r="K232" s="5">
        <f>Table13[[#This Row],[Sales]]/Table13[[#This Row],[Unique Visitors]]</f>
        <v>9.0294654208047942E-3</v>
      </c>
      <c r="L232"/>
    </row>
    <row r="233" spans="1:12" x14ac:dyDescent="0.2">
      <c r="A233" s="2" t="s">
        <v>11</v>
      </c>
      <c r="B233" s="2" t="s">
        <v>47</v>
      </c>
      <c r="C233" s="2" t="s">
        <v>63</v>
      </c>
      <c r="D233" s="2" t="s">
        <v>74</v>
      </c>
      <c r="E233" s="2" t="s">
        <v>75</v>
      </c>
      <c r="F233" s="2" t="s">
        <v>77</v>
      </c>
      <c r="G233" s="2">
        <v>2025</v>
      </c>
      <c r="H233" s="3">
        <v>16980</v>
      </c>
      <c r="I233" s="3">
        <v>3567486.06143083</v>
      </c>
      <c r="J233" s="4">
        <f>Table13[[#This Row],[Unique Visitors]]/Table13[[#This Row],[Sales]]</f>
        <v>210.0992969040536</v>
      </c>
      <c r="K233" s="5">
        <f>Table13[[#This Row],[Sales]]/Table13[[#This Row],[Unique Visitors]]</f>
        <v>4.7596541955905337E-3</v>
      </c>
      <c r="L233"/>
    </row>
    <row r="234" spans="1:12" x14ac:dyDescent="0.2">
      <c r="A234" s="2" t="s">
        <v>60</v>
      </c>
      <c r="B234" s="2" t="s">
        <v>18</v>
      </c>
      <c r="C234" s="2" t="s">
        <v>65</v>
      </c>
      <c r="D234" s="2" t="s">
        <v>73</v>
      </c>
      <c r="E234" s="2" t="s">
        <v>75</v>
      </c>
      <c r="F234" s="2" t="s">
        <v>77</v>
      </c>
      <c r="G234" s="2">
        <v>2024</v>
      </c>
      <c r="H234" s="3">
        <v>16788</v>
      </c>
      <c r="I234" s="3">
        <v>2823385.7146892264</v>
      </c>
      <c r="J234" s="4">
        <f>Table13[[#This Row],[Unique Visitors]]/Table13[[#This Row],[Sales]]</f>
        <v>168.17880120855529</v>
      </c>
      <c r="K234" s="5">
        <f>Table13[[#This Row],[Sales]]/Table13[[#This Row],[Unique Visitors]]</f>
        <v>5.9460526107563295E-3</v>
      </c>
      <c r="L234"/>
    </row>
    <row r="235" spans="1:12" x14ac:dyDescent="0.2">
      <c r="A235" s="2" t="s">
        <v>65</v>
      </c>
      <c r="B235" s="2" t="s">
        <v>54</v>
      </c>
      <c r="C235" s="2" t="s">
        <v>67</v>
      </c>
      <c r="D235" s="2" t="s">
        <v>72</v>
      </c>
      <c r="E235" s="2" t="s">
        <v>76</v>
      </c>
      <c r="F235" s="2" t="s">
        <v>78</v>
      </c>
      <c r="G235" s="2">
        <v>2024</v>
      </c>
      <c r="H235" s="3">
        <v>16680</v>
      </c>
      <c r="I235" s="3">
        <v>2425805.5441091377</v>
      </c>
      <c r="J235" s="4">
        <f>Table13[[#This Row],[Unique Visitors]]/Table13[[#This Row],[Sales]]</f>
        <v>145.43198705690276</v>
      </c>
      <c r="K235" s="5">
        <f>Table13[[#This Row],[Sales]]/Table13[[#This Row],[Unique Visitors]]</f>
        <v>6.8760664021508076E-3</v>
      </c>
      <c r="L235"/>
    </row>
    <row r="236" spans="1:12" x14ac:dyDescent="0.2">
      <c r="A236" s="2" t="s">
        <v>11</v>
      </c>
      <c r="B236" s="2" t="s">
        <v>36</v>
      </c>
      <c r="C236" s="2" t="s">
        <v>69</v>
      </c>
      <c r="D236" s="2" t="s">
        <v>72</v>
      </c>
      <c r="E236" s="2" t="s">
        <v>75</v>
      </c>
      <c r="F236" s="2" t="s">
        <v>77</v>
      </c>
      <c r="G236" s="2">
        <v>2024</v>
      </c>
      <c r="H236" s="3">
        <v>16651</v>
      </c>
      <c r="I236" s="3">
        <v>2416433.4111108701</v>
      </c>
      <c r="J236" s="4">
        <f>Table13[[#This Row],[Unique Visitors]]/Table13[[#This Row],[Sales]]</f>
        <v>145.12241974120894</v>
      </c>
      <c r="K236" s="5">
        <f>Table13[[#This Row],[Sales]]/Table13[[#This Row],[Unique Visitors]]</f>
        <v>6.8907340560008601E-3</v>
      </c>
      <c r="L236"/>
    </row>
    <row r="237" spans="1:12" x14ac:dyDescent="0.2">
      <c r="A237" s="2" t="s">
        <v>11</v>
      </c>
      <c r="B237" s="2" t="s">
        <v>29</v>
      </c>
      <c r="C237" s="2" t="s">
        <v>62</v>
      </c>
      <c r="D237" s="2" t="s">
        <v>72</v>
      </c>
      <c r="E237" s="2" t="s">
        <v>75</v>
      </c>
      <c r="F237" s="2" t="s">
        <v>77</v>
      </c>
      <c r="G237" s="2">
        <v>2024</v>
      </c>
      <c r="H237" s="3">
        <v>16617</v>
      </c>
      <c r="I237" s="3">
        <v>515929.61347293848</v>
      </c>
      <c r="J237" s="4">
        <f>Table13[[#This Row],[Unique Visitors]]/Table13[[#This Row],[Sales]]</f>
        <v>31.048300744595203</v>
      </c>
      <c r="K237" s="5">
        <f>Table13[[#This Row],[Sales]]/Table13[[#This Row],[Unique Visitors]]</f>
        <v>3.2207881784772942E-2</v>
      </c>
      <c r="L237"/>
    </row>
    <row r="238" spans="1:12" x14ac:dyDescent="0.2">
      <c r="A238" s="2" t="s">
        <v>11</v>
      </c>
      <c r="B238" s="2" t="s">
        <v>49</v>
      </c>
      <c r="C238" s="2" t="s">
        <v>65</v>
      </c>
      <c r="D238" s="2" t="s">
        <v>73</v>
      </c>
      <c r="E238" s="2" t="s">
        <v>75</v>
      </c>
      <c r="F238" s="2" t="s">
        <v>77</v>
      </c>
      <c r="G238" s="2">
        <v>2025</v>
      </c>
      <c r="H238" s="3">
        <v>16297</v>
      </c>
      <c r="I238" s="3">
        <v>1689285.431324882</v>
      </c>
      <c r="J238" s="4">
        <f>Table13[[#This Row],[Unique Visitors]]/Table13[[#This Row],[Sales]]</f>
        <v>103.65622085812616</v>
      </c>
      <c r="K238" s="5">
        <f>Table13[[#This Row],[Sales]]/Table13[[#This Row],[Unique Visitors]]</f>
        <v>9.6472743432224478E-3</v>
      </c>
      <c r="L238"/>
    </row>
    <row r="239" spans="1:12" x14ac:dyDescent="0.2">
      <c r="A239" s="2" t="s">
        <v>60</v>
      </c>
      <c r="B239" s="2" t="s">
        <v>42</v>
      </c>
      <c r="C239" s="2" t="s">
        <v>62</v>
      </c>
      <c r="D239" s="2" t="s">
        <v>73</v>
      </c>
      <c r="E239" s="2" t="s">
        <v>75</v>
      </c>
      <c r="F239" s="2" t="s">
        <v>77</v>
      </c>
      <c r="G239" s="2">
        <v>2025</v>
      </c>
      <c r="H239" s="3">
        <v>16256</v>
      </c>
      <c r="I239" s="3">
        <v>1523830.7967503592</v>
      </c>
      <c r="J239" s="4">
        <f>Table13[[#This Row],[Unique Visitors]]/Table13[[#This Row],[Sales]]</f>
        <v>93.739591335528985</v>
      </c>
      <c r="K239" s="5">
        <f>Table13[[#This Row],[Sales]]/Table13[[#This Row],[Unique Visitors]]</f>
        <v>1.0667851072879406E-2</v>
      </c>
      <c r="L239"/>
    </row>
    <row r="240" spans="1:12" x14ac:dyDescent="0.2">
      <c r="A240" s="2" t="s">
        <v>65</v>
      </c>
      <c r="B240" s="2" t="s">
        <v>54</v>
      </c>
      <c r="C240" s="2" t="s">
        <v>67</v>
      </c>
      <c r="D240" s="2" t="s">
        <v>72</v>
      </c>
      <c r="E240" s="2" t="s">
        <v>76</v>
      </c>
      <c r="F240" s="2" t="s">
        <v>78</v>
      </c>
      <c r="G240" s="2">
        <v>2025</v>
      </c>
      <c r="H240" s="3">
        <v>16005</v>
      </c>
      <c r="I240" s="3">
        <v>2365453.3858839292</v>
      </c>
      <c r="J240" s="4">
        <f>Table13[[#This Row],[Unique Visitors]]/Table13[[#This Row],[Sales]]</f>
        <v>147.79465078937389</v>
      </c>
      <c r="K240" s="5">
        <f>Table13[[#This Row],[Sales]]/Table13[[#This Row],[Unique Visitors]]</f>
        <v>6.7661447465045725E-3</v>
      </c>
      <c r="L240"/>
    </row>
    <row r="241" spans="1:12" x14ac:dyDescent="0.2">
      <c r="A241" s="2" t="s">
        <v>60</v>
      </c>
      <c r="B241" s="2" t="s">
        <v>54</v>
      </c>
      <c r="C241" s="2" t="s">
        <v>67</v>
      </c>
      <c r="D241" s="2" t="s">
        <v>72</v>
      </c>
      <c r="E241" s="2" t="s">
        <v>76</v>
      </c>
      <c r="F241" s="2" t="s">
        <v>78</v>
      </c>
      <c r="G241" s="2">
        <v>2024</v>
      </c>
      <c r="H241" s="3">
        <v>15650</v>
      </c>
      <c r="I241" s="3">
        <v>2419473.6493769772</v>
      </c>
      <c r="J241" s="4">
        <f>Table13[[#This Row],[Unique Visitors]]/Table13[[#This Row],[Sales]]</f>
        <v>154.59895523175572</v>
      </c>
      <c r="K241" s="5">
        <f>Table13[[#This Row],[Sales]]/Table13[[#This Row],[Unique Visitors]]</f>
        <v>6.4683490163366438E-3</v>
      </c>
      <c r="L241"/>
    </row>
    <row r="242" spans="1:12" x14ac:dyDescent="0.2">
      <c r="A242" s="2" t="s">
        <v>11</v>
      </c>
      <c r="B242" s="2" t="s">
        <v>36</v>
      </c>
      <c r="C242" s="2" t="s">
        <v>69</v>
      </c>
      <c r="D242" s="2" t="s">
        <v>72</v>
      </c>
      <c r="E242" s="2" t="s">
        <v>75</v>
      </c>
      <c r="F242" s="2" t="s">
        <v>77</v>
      </c>
      <c r="G242" s="2">
        <v>2025</v>
      </c>
      <c r="H242" s="3">
        <v>15357</v>
      </c>
      <c r="I242" s="3">
        <v>2405139.997661713</v>
      </c>
      <c r="J242" s="4">
        <f>Table13[[#This Row],[Unique Visitors]]/Table13[[#This Row],[Sales]]</f>
        <v>156.61522417540621</v>
      </c>
      <c r="K242" s="5">
        <f>Table13[[#This Row],[Sales]]/Table13[[#This Row],[Unique Visitors]]</f>
        <v>6.3850753032797004E-3</v>
      </c>
      <c r="L242"/>
    </row>
    <row r="243" spans="1:12" x14ac:dyDescent="0.2">
      <c r="A243" s="2" t="s">
        <v>11</v>
      </c>
      <c r="B243" s="2" t="s">
        <v>22</v>
      </c>
      <c r="C243" s="2" t="s">
        <v>60</v>
      </c>
      <c r="D243" s="2" t="s">
        <v>73</v>
      </c>
      <c r="E243" s="2" t="s">
        <v>75</v>
      </c>
      <c r="F243" s="2" t="s">
        <v>77</v>
      </c>
      <c r="G243" s="2">
        <v>2024</v>
      </c>
      <c r="H243" s="3">
        <v>15280</v>
      </c>
      <c r="I243" s="3">
        <v>857698.51495378464</v>
      </c>
      <c r="J243" s="4">
        <f>Table13[[#This Row],[Unique Visitors]]/Table13[[#This Row],[Sales]]</f>
        <v>56.132101763991145</v>
      </c>
      <c r="K243" s="5">
        <f>Table13[[#This Row],[Sales]]/Table13[[#This Row],[Unique Visitors]]</f>
        <v>1.7815117705809871E-2</v>
      </c>
      <c r="L243"/>
    </row>
    <row r="244" spans="1:12" x14ac:dyDescent="0.2">
      <c r="A244" s="2" t="s">
        <v>11</v>
      </c>
      <c r="B244" s="2" t="s">
        <v>46</v>
      </c>
      <c r="C244" s="2" t="s">
        <v>70</v>
      </c>
      <c r="D244" s="2" t="s">
        <v>72</v>
      </c>
      <c r="E244" s="2" t="s">
        <v>76</v>
      </c>
      <c r="F244" s="2" t="s">
        <v>77</v>
      </c>
      <c r="G244" s="2">
        <v>2025</v>
      </c>
      <c r="H244" s="3">
        <v>15226</v>
      </c>
      <c r="I244" s="3">
        <v>1970710.7551629751</v>
      </c>
      <c r="J244" s="4">
        <f>Table13[[#This Row],[Unique Visitors]]/Table13[[#This Row],[Sales]]</f>
        <v>129.43062886923519</v>
      </c>
      <c r="K244" s="5">
        <f>Table13[[#This Row],[Sales]]/Table13[[#This Row],[Unique Visitors]]</f>
        <v>7.7261464982164929E-3</v>
      </c>
      <c r="L244"/>
    </row>
    <row r="245" spans="1:12" x14ac:dyDescent="0.2">
      <c r="A245" s="2" t="s">
        <v>65</v>
      </c>
      <c r="B245" s="2" t="s">
        <v>57</v>
      </c>
      <c r="C245" s="2" t="s">
        <v>70</v>
      </c>
      <c r="D245" s="2" t="s">
        <v>72</v>
      </c>
      <c r="E245" s="2" t="s">
        <v>75</v>
      </c>
      <c r="F245" s="2" t="s">
        <v>77</v>
      </c>
      <c r="G245" s="2">
        <v>2025</v>
      </c>
      <c r="H245" s="3">
        <v>15173</v>
      </c>
      <c r="I245" s="3">
        <v>2378137.07462725</v>
      </c>
      <c r="J245" s="4">
        <f>Table13[[#This Row],[Unique Visitors]]/Table13[[#This Row],[Sales]]</f>
        <v>156.73479698327623</v>
      </c>
      <c r="K245" s="5">
        <f>Table13[[#This Row],[Sales]]/Table13[[#This Row],[Unique Visitors]]</f>
        <v>6.38020413620532E-3</v>
      </c>
      <c r="L245"/>
    </row>
    <row r="246" spans="1:12" x14ac:dyDescent="0.2">
      <c r="A246" s="2" t="s">
        <v>61</v>
      </c>
      <c r="B246" s="2" t="s">
        <v>20</v>
      </c>
      <c r="C246" s="2" t="s">
        <v>61</v>
      </c>
      <c r="D246" s="2" t="s">
        <v>73</v>
      </c>
      <c r="E246" s="2" t="s">
        <v>75</v>
      </c>
      <c r="F246" s="2" t="s">
        <v>77</v>
      </c>
      <c r="G246" s="2">
        <v>2025</v>
      </c>
      <c r="H246" s="3">
        <v>14280</v>
      </c>
      <c r="I246" s="3">
        <v>1416237.003705282</v>
      </c>
      <c r="J246" s="4">
        <f>Table13[[#This Row],[Unique Visitors]]/Table13[[#This Row],[Sales]]</f>
        <v>99.176260763675216</v>
      </c>
      <c r="K246" s="5">
        <f>Table13[[#This Row],[Sales]]/Table13[[#This Row],[Unique Visitors]]</f>
        <v>1.0083058105839225E-2</v>
      </c>
      <c r="L246"/>
    </row>
    <row r="247" spans="1:12" x14ac:dyDescent="0.2">
      <c r="A247" s="2" t="s">
        <v>60</v>
      </c>
      <c r="B247" s="2" t="s">
        <v>39</v>
      </c>
      <c r="C247" s="2" t="s">
        <v>69</v>
      </c>
      <c r="D247" s="2" t="s">
        <v>73</v>
      </c>
      <c r="E247" s="2" t="s">
        <v>75</v>
      </c>
      <c r="F247" s="2" t="s">
        <v>77</v>
      </c>
      <c r="G247" s="2">
        <v>2024</v>
      </c>
      <c r="H247" s="3">
        <v>14217</v>
      </c>
      <c r="I247" s="3">
        <v>1783063.0746780222</v>
      </c>
      <c r="J247" s="4">
        <f>Table13[[#This Row],[Unique Visitors]]/Table13[[#This Row],[Sales]]</f>
        <v>125.41767424055864</v>
      </c>
      <c r="K247" s="5">
        <f>Table13[[#This Row],[Sales]]/Table13[[#This Row],[Unique Visitors]]</f>
        <v>7.973357870454046E-3</v>
      </c>
      <c r="L247"/>
    </row>
    <row r="248" spans="1:12" x14ac:dyDescent="0.2">
      <c r="A248" s="2" t="s">
        <v>65</v>
      </c>
      <c r="B248" s="2" t="s">
        <v>22</v>
      </c>
      <c r="C248" s="2" t="s">
        <v>60</v>
      </c>
      <c r="D248" s="2" t="s">
        <v>73</v>
      </c>
      <c r="E248" s="2" t="s">
        <v>75</v>
      </c>
      <c r="F248" s="2" t="s">
        <v>77</v>
      </c>
      <c r="G248" s="2">
        <v>2024</v>
      </c>
      <c r="H248" s="3">
        <v>14082</v>
      </c>
      <c r="I248" s="3">
        <v>1185127.8837212953</v>
      </c>
      <c r="J248" s="4">
        <f>Table13[[#This Row],[Unique Visitors]]/Table13[[#This Row],[Sales]]</f>
        <v>84.159060056902092</v>
      </c>
      <c r="K248" s="5">
        <f>Table13[[#This Row],[Sales]]/Table13[[#This Row],[Unique Visitors]]</f>
        <v>1.1882261984911362E-2</v>
      </c>
      <c r="L248"/>
    </row>
    <row r="249" spans="1:12" x14ac:dyDescent="0.2">
      <c r="A249" s="2" t="s">
        <v>60</v>
      </c>
      <c r="B249" s="2" t="s">
        <v>57</v>
      </c>
      <c r="C249" s="2" t="s">
        <v>70</v>
      </c>
      <c r="D249" s="2" t="s">
        <v>72</v>
      </c>
      <c r="E249" s="2" t="s">
        <v>75</v>
      </c>
      <c r="F249" s="2" t="s">
        <v>77</v>
      </c>
      <c r="G249" s="2">
        <v>2025</v>
      </c>
      <c r="H249" s="3">
        <v>14034</v>
      </c>
      <c r="I249" s="3">
        <v>1925461.289099792</v>
      </c>
      <c r="J249" s="4">
        <f>Table13[[#This Row],[Unique Visitors]]/Table13[[#This Row],[Sales]]</f>
        <v>137.19974982897193</v>
      </c>
      <c r="K249" s="5">
        <f>Table13[[#This Row],[Sales]]/Table13[[#This Row],[Unique Visitors]]</f>
        <v>7.2886430277501425E-3</v>
      </c>
      <c r="L249"/>
    </row>
    <row r="250" spans="1:12" x14ac:dyDescent="0.2">
      <c r="A250" s="2" t="s">
        <v>65</v>
      </c>
      <c r="B250" s="2" t="s">
        <v>44</v>
      </c>
      <c r="C250" s="2" t="s">
        <v>64</v>
      </c>
      <c r="D250" s="2" t="s">
        <v>73</v>
      </c>
      <c r="E250" s="2" t="s">
        <v>75</v>
      </c>
      <c r="F250" s="2" t="s">
        <v>78</v>
      </c>
      <c r="G250" s="2">
        <v>2025</v>
      </c>
      <c r="H250" s="3">
        <v>13963</v>
      </c>
      <c r="I250" s="2">
        <f>286749+871924</f>
        <v>1158673</v>
      </c>
      <c r="J250" s="4">
        <f>Table13[[#This Row],[Unique Visitors]]/Table13[[#This Row],[Sales]]</f>
        <v>82.981665831125113</v>
      </c>
      <c r="K250" s="5">
        <f>Table13[[#This Row],[Sales]]/Table13[[#This Row],[Unique Visitors]]</f>
        <v>1.2050854727779106E-2</v>
      </c>
      <c r="L250"/>
    </row>
    <row r="251" spans="1:12" x14ac:dyDescent="0.2">
      <c r="A251" s="2" t="s">
        <v>61</v>
      </c>
      <c r="B251" s="2" t="s">
        <v>57</v>
      </c>
      <c r="C251" s="2" t="s">
        <v>70</v>
      </c>
      <c r="D251" s="2" t="s">
        <v>72</v>
      </c>
      <c r="E251" s="2" t="s">
        <v>75</v>
      </c>
      <c r="F251" s="2" t="s">
        <v>77</v>
      </c>
      <c r="G251" s="2">
        <v>2025</v>
      </c>
      <c r="H251" s="3">
        <v>13067</v>
      </c>
      <c r="I251" s="3">
        <v>1350506.4009402464</v>
      </c>
      <c r="J251" s="4">
        <f>Table13[[#This Row],[Unique Visitors]]/Table13[[#This Row],[Sales]]</f>
        <v>103.35244516264225</v>
      </c>
      <c r="K251" s="5">
        <f>Table13[[#This Row],[Sales]]/Table13[[#This Row],[Unique Visitors]]</f>
        <v>9.6756298162693072E-3</v>
      </c>
      <c r="L251"/>
    </row>
    <row r="252" spans="1:12" x14ac:dyDescent="0.2">
      <c r="A252" s="2" t="s">
        <v>63</v>
      </c>
      <c r="B252" s="2" t="s">
        <v>34</v>
      </c>
      <c r="C252" s="2" t="s">
        <v>62</v>
      </c>
      <c r="D252" s="2" t="s">
        <v>72</v>
      </c>
      <c r="E252" s="2" t="s">
        <v>75</v>
      </c>
      <c r="F252" s="2" t="s">
        <v>77</v>
      </c>
      <c r="G252" s="2">
        <v>2025</v>
      </c>
      <c r="H252" s="3">
        <v>13061</v>
      </c>
      <c r="I252" s="3">
        <v>1376703.8962167739</v>
      </c>
      <c r="J252" s="4">
        <f>Table13[[#This Row],[Unique Visitors]]/Table13[[#This Row],[Sales]]</f>
        <v>105.40570371462934</v>
      </c>
      <c r="K252" s="5">
        <f>Table13[[#This Row],[Sales]]/Table13[[#This Row],[Unique Visitors]]</f>
        <v>9.487152637464049E-3</v>
      </c>
      <c r="L252"/>
    </row>
    <row r="253" spans="1:12" x14ac:dyDescent="0.2">
      <c r="A253" s="2" t="s">
        <v>60</v>
      </c>
      <c r="B253" s="2" t="s">
        <v>54</v>
      </c>
      <c r="C253" s="2" t="s">
        <v>67</v>
      </c>
      <c r="D253" s="2" t="s">
        <v>72</v>
      </c>
      <c r="E253" s="2" t="s">
        <v>76</v>
      </c>
      <c r="F253" s="2" t="s">
        <v>78</v>
      </c>
      <c r="G253" s="2">
        <v>2025</v>
      </c>
      <c r="H253" s="3">
        <v>12847</v>
      </c>
      <c r="I253" s="3">
        <v>2496754.8671175651</v>
      </c>
      <c r="J253" s="4">
        <f>Table13[[#This Row],[Unique Visitors]]/Table13[[#This Row],[Sales]]</f>
        <v>194.34536211703627</v>
      </c>
      <c r="K253" s="5">
        <f>Table13[[#This Row],[Sales]]/Table13[[#This Row],[Unique Visitors]]</f>
        <v>5.145479105376295E-3</v>
      </c>
      <c r="L253"/>
    </row>
    <row r="254" spans="1:12" x14ac:dyDescent="0.2">
      <c r="A254" s="2" t="s">
        <v>63</v>
      </c>
      <c r="B254" s="2" t="s">
        <v>51</v>
      </c>
      <c r="C254" s="2" t="s">
        <v>63</v>
      </c>
      <c r="D254" s="2" t="s">
        <v>73</v>
      </c>
      <c r="E254" s="2" t="s">
        <v>75</v>
      </c>
      <c r="F254" s="2" t="s">
        <v>77</v>
      </c>
      <c r="G254" s="2">
        <v>2024</v>
      </c>
      <c r="H254" s="3">
        <v>12463</v>
      </c>
      <c r="I254" s="3">
        <v>1408000</v>
      </c>
      <c r="J254" s="4">
        <f>Table13[[#This Row],[Unique Visitors]]/Table13[[#This Row],[Sales]]</f>
        <v>112.97440423654015</v>
      </c>
      <c r="K254" s="5">
        <f>Table13[[#This Row],[Sales]]/Table13[[#This Row],[Unique Visitors]]</f>
        <v>8.8515625000000001E-3</v>
      </c>
      <c r="L254"/>
    </row>
    <row r="255" spans="1:12" x14ac:dyDescent="0.2">
      <c r="A255" s="2" t="s">
        <v>60</v>
      </c>
      <c r="B255" s="2" t="s">
        <v>42</v>
      </c>
      <c r="C255" s="2" t="s">
        <v>62</v>
      </c>
      <c r="D255" s="2" t="s">
        <v>73</v>
      </c>
      <c r="E255" s="2" t="s">
        <v>75</v>
      </c>
      <c r="F255" s="2" t="s">
        <v>77</v>
      </c>
      <c r="G255" s="2">
        <v>2024</v>
      </c>
      <c r="H255" s="3">
        <v>12307</v>
      </c>
      <c r="I255" s="3">
        <v>2583757.9992930582</v>
      </c>
      <c r="J255" s="4">
        <f>Table13[[#This Row],[Unique Visitors]]/Table13[[#This Row],[Sales]]</f>
        <v>209.94214668831219</v>
      </c>
      <c r="K255" s="5">
        <f>Table13[[#This Row],[Sales]]/Table13[[#This Row],[Unique Visitors]]</f>
        <v>4.7632169898912035E-3</v>
      </c>
      <c r="L255"/>
    </row>
    <row r="256" spans="1:12" x14ac:dyDescent="0.2">
      <c r="A256" s="2" t="s">
        <v>63</v>
      </c>
      <c r="B256" s="2" t="s">
        <v>34</v>
      </c>
      <c r="C256" s="2" t="s">
        <v>62</v>
      </c>
      <c r="D256" s="2" t="s">
        <v>72</v>
      </c>
      <c r="E256" s="2" t="s">
        <v>75</v>
      </c>
      <c r="F256" s="2" t="s">
        <v>77</v>
      </c>
      <c r="G256" s="2">
        <v>2024</v>
      </c>
      <c r="H256" s="3">
        <v>12169</v>
      </c>
      <c r="I256" s="3">
        <v>3254630.8975803717</v>
      </c>
      <c r="J256" s="4">
        <f>Table13[[#This Row],[Unique Visitors]]/Table13[[#This Row],[Sales]]</f>
        <v>267.45261710743461</v>
      </c>
      <c r="K256" s="5">
        <f>Table13[[#This Row],[Sales]]/Table13[[#This Row],[Unique Visitors]]</f>
        <v>3.7389800511778283E-3</v>
      </c>
      <c r="L256"/>
    </row>
    <row r="257" spans="1:12" x14ac:dyDescent="0.2">
      <c r="A257" s="2" t="s">
        <v>63</v>
      </c>
      <c r="B257" s="2" t="s">
        <v>30</v>
      </c>
      <c r="C257" s="2" t="s">
        <v>67</v>
      </c>
      <c r="D257" s="2" t="s">
        <v>73</v>
      </c>
      <c r="E257" s="2" t="s">
        <v>75</v>
      </c>
      <c r="F257" s="2" t="s">
        <v>77</v>
      </c>
      <c r="G257" s="2">
        <v>2025</v>
      </c>
      <c r="H257" s="3">
        <v>12039</v>
      </c>
      <c r="I257" s="3">
        <v>859333.62356155692</v>
      </c>
      <c r="J257" s="4">
        <f>Table13[[#This Row],[Unique Visitors]]/Table13[[#This Row],[Sales]]</f>
        <v>71.379153049385906</v>
      </c>
      <c r="K257" s="5">
        <f>Table13[[#This Row],[Sales]]/Table13[[#This Row],[Unique Visitors]]</f>
        <v>1.4009692708291435E-2</v>
      </c>
      <c r="L257"/>
    </row>
    <row r="258" spans="1:12" x14ac:dyDescent="0.2">
      <c r="A258" s="2" t="s">
        <v>63</v>
      </c>
      <c r="B258" s="2" t="s">
        <v>30</v>
      </c>
      <c r="C258" s="2" t="s">
        <v>67</v>
      </c>
      <c r="D258" s="2" t="s">
        <v>73</v>
      </c>
      <c r="E258" s="2" t="s">
        <v>75</v>
      </c>
      <c r="F258" s="2" t="s">
        <v>77</v>
      </c>
      <c r="G258" s="2">
        <v>2024</v>
      </c>
      <c r="H258" s="3">
        <v>11972</v>
      </c>
      <c r="I258" s="3">
        <v>1271453.8806789482</v>
      </c>
      <c r="J258" s="4">
        <f>Table13[[#This Row],[Unique Visitors]]/Table13[[#This Row],[Sales]]</f>
        <v>106.20229541254162</v>
      </c>
      <c r="K258" s="5">
        <f>Table13[[#This Row],[Sales]]/Table13[[#This Row],[Unique Visitors]]</f>
        <v>9.4159923391063383E-3</v>
      </c>
      <c r="L258"/>
    </row>
    <row r="259" spans="1:12" x14ac:dyDescent="0.2">
      <c r="A259" s="2" t="s">
        <v>61</v>
      </c>
      <c r="B259" s="2" t="s">
        <v>30</v>
      </c>
      <c r="C259" s="2" t="s">
        <v>67</v>
      </c>
      <c r="D259" s="2" t="s">
        <v>73</v>
      </c>
      <c r="E259" s="2" t="s">
        <v>75</v>
      </c>
      <c r="F259" s="2" t="s">
        <v>77</v>
      </c>
      <c r="G259" s="2">
        <v>2024</v>
      </c>
      <c r="H259" s="3">
        <v>11790</v>
      </c>
      <c r="I259" s="3">
        <v>1305899.8258150637</v>
      </c>
      <c r="J259" s="4">
        <f>Table13[[#This Row],[Unique Visitors]]/Table13[[#This Row],[Sales]]</f>
        <v>110.76334400467037</v>
      </c>
      <c r="K259" s="5">
        <f>Table13[[#This Row],[Sales]]/Table13[[#This Row],[Unique Visitors]]</f>
        <v>9.0282575791304637E-3</v>
      </c>
      <c r="L259"/>
    </row>
    <row r="260" spans="1:12" x14ac:dyDescent="0.2">
      <c r="A260" s="2" t="s">
        <v>60</v>
      </c>
      <c r="B260" s="2" t="s">
        <v>49</v>
      </c>
      <c r="C260" s="2" t="s">
        <v>65</v>
      </c>
      <c r="D260" s="2" t="s">
        <v>73</v>
      </c>
      <c r="E260" s="2" t="s">
        <v>75</v>
      </c>
      <c r="F260" s="2" t="s">
        <v>77</v>
      </c>
      <c r="G260" s="2">
        <v>2024</v>
      </c>
      <c r="H260" s="3">
        <v>11523</v>
      </c>
      <c r="I260" s="3">
        <v>2515000</v>
      </c>
      <c r="J260" s="4">
        <f>Table13[[#This Row],[Unique Visitors]]/Table13[[#This Row],[Sales]]</f>
        <v>218.25913390610083</v>
      </c>
      <c r="K260" s="5">
        <f>Table13[[#This Row],[Sales]]/Table13[[#This Row],[Unique Visitors]]</f>
        <v>4.5817097415506956E-3</v>
      </c>
      <c r="L260"/>
    </row>
    <row r="261" spans="1:12" x14ac:dyDescent="0.2">
      <c r="A261" s="2" t="s">
        <v>60</v>
      </c>
      <c r="B261" s="2" t="s">
        <v>39</v>
      </c>
      <c r="C261" s="2" t="s">
        <v>69</v>
      </c>
      <c r="D261" s="2" t="s">
        <v>73</v>
      </c>
      <c r="E261" s="2" t="s">
        <v>75</v>
      </c>
      <c r="F261" s="2" t="s">
        <v>77</v>
      </c>
      <c r="G261" s="2">
        <v>2025</v>
      </c>
      <c r="H261" s="3">
        <v>10817</v>
      </c>
      <c r="I261" s="3">
        <v>2259534.6276531019</v>
      </c>
      <c r="J261" s="4">
        <f>Table13[[#This Row],[Unique Visitors]]/Table13[[#This Row],[Sales]]</f>
        <v>208.88736504142571</v>
      </c>
      <c r="K261" s="5">
        <f>Table13[[#This Row],[Sales]]/Table13[[#This Row],[Unique Visitors]]</f>
        <v>4.7872689657494794E-3</v>
      </c>
      <c r="L261"/>
    </row>
    <row r="262" spans="1:12" x14ac:dyDescent="0.2">
      <c r="A262" s="2" t="s">
        <v>61</v>
      </c>
      <c r="B262" s="2" t="s">
        <v>34</v>
      </c>
      <c r="C262" s="2" t="s">
        <v>62</v>
      </c>
      <c r="D262" s="2" t="s">
        <v>72</v>
      </c>
      <c r="E262" s="2" t="s">
        <v>75</v>
      </c>
      <c r="F262" s="2" t="s">
        <v>77</v>
      </c>
      <c r="G262" s="2">
        <v>2024</v>
      </c>
      <c r="H262" s="3">
        <v>10628</v>
      </c>
      <c r="I262" s="3">
        <v>3158109.2544161649</v>
      </c>
      <c r="J262" s="4">
        <f>Table13[[#This Row],[Unique Visitors]]/Table13[[#This Row],[Sales]]</f>
        <v>297.14991102899558</v>
      </c>
      <c r="K262" s="5">
        <f>Table13[[#This Row],[Sales]]/Table13[[#This Row],[Unique Visitors]]</f>
        <v>3.3653047262814798E-3</v>
      </c>
      <c r="L262"/>
    </row>
    <row r="263" spans="1:12" x14ac:dyDescent="0.2">
      <c r="A263" s="2" t="s">
        <v>65</v>
      </c>
      <c r="B263" s="2" t="s">
        <v>30</v>
      </c>
      <c r="C263" s="2" t="s">
        <v>67</v>
      </c>
      <c r="D263" s="2" t="s">
        <v>73</v>
      </c>
      <c r="E263" s="2" t="s">
        <v>75</v>
      </c>
      <c r="F263" s="2" t="s">
        <v>77</v>
      </c>
      <c r="G263" s="2">
        <v>2025</v>
      </c>
      <c r="H263" s="3">
        <v>10355</v>
      </c>
      <c r="I263" s="3">
        <v>1567582.3366038932</v>
      </c>
      <c r="J263" s="4">
        <f>Table13[[#This Row],[Unique Visitors]]/Table13[[#This Row],[Sales]]</f>
        <v>151.38409817517075</v>
      </c>
      <c r="K263" s="5">
        <f>Table13[[#This Row],[Sales]]/Table13[[#This Row],[Unique Visitors]]</f>
        <v>6.6057136255016176E-3</v>
      </c>
      <c r="L263"/>
    </row>
    <row r="264" spans="1:12" x14ac:dyDescent="0.2">
      <c r="A264" s="2" t="s">
        <v>65</v>
      </c>
      <c r="B264" s="2" t="s">
        <v>30</v>
      </c>
      <c r="C264" s="2" t="s">
        <v>67</v>
      </c>
      <c r="D264" s="2" t="s">
        <v>73</v>
      </c>
      <c r="E264" s="2" t="s">
        <v>75</v>
      </c>
      <c r="F264" s="2" t="s">
        <v>77</v>
      </c>
      <c r="G264" s="2">
        <v>2024</v>
      </c>
      <c r="H264" s="3">
        <v>10286</v>
      </c>
      <c r="I264" s="3">
        <v>1770434.2270477402</v>
      </c>
      <c r="J264" s="4">
        <f>Table13[[#This Row],[Unique Visitors]]/Table13[[#This Row],[Sales]]</f>
        <v>172.12076871939919</v>
      </c>
      <c r="K264" s="5">
        <f>Table13[[#This Row],[Sales]]/Table13[[#This Row],[Unique Visitors]]</f>
        <v>5.809874121758399E-3</v>
      </c>
      <c r="L264"/>
    </row>
    <row r="265" spans="1:12" x14ac:dyDescent="0.2">
      <c r="A265" s="2" t="s">
        <v>11</v>
      </c>
      <c r="B265" s="2" t="s">
        <v>30</v>
      </c>
      <c r="C265" s="2" t="s">
        <v>67</v>
      </c>
      <c r="D265" s="2" t="s">
        <v>73</v>
      </c>
      <c r="E265" s="2" t="s">
        <v>75</v>
      </c>
      <c r="F265" s="2" t="s">
        <v>77</v>
      </c>
      <c r="G265" s="2">
        <v>2025</v>
      </c>
      <c r="H265" s="3">
        <v>10101</v>
      </c>
      <c r="I265" s="3">
        <v>820558.18773373705</v>
      </c>
      <c r="J265" s="4">
        <f>Table13[[#This Row],[Unique Visitors]]/Table13[[#This Row],[Sales]]</f>
        <v>81.235341820981787</v>
      </c>
      <c r="K265" s="5">
        <f>Table13[[#This Row],[Sales]]/Table13[[#This Row],[Unique Visitors]]</f>
        <v>1.2309913118894712E-2</v>
      </c>
      <c r="L265"/>
    </row>
    <row r="266" spans="1:12" x14ac:dyDescent="0.2">
      <c r="A266" s="2" t="s">
        <v>65</v>
      </c>
      <c r="B266" s="2" t="s">
        <v>22</v>
      </c>
      <c r="C266" s="2" t="s">
        <v>60</v>
      </c>
      <c r="D266" s="2" t="s">
        <v>73</v>
      </c>
      <c r="E266" s="2" t="s">
        <v>75</v>
      </c>
      <c r="F266" s="2" t="s">
        <v>77</v>
      </c>
      <c r="G266" s="2">
        <v>2025</v>
      </c>
      <c r="H266" s="3">
        <v>9768</v>
      </c>
      <c r="I266" s="3">
        <v>1197004.4217133876</v>
      </c>
      <c r="J266" s="4">
        <f>Table13[[#This Row],[Unique Visitors]]/Table13[[#This Row],[Sales]]</f>
        <v>122.54345021635827</v>
      </c>
      <c r="K266" s="5">
        <f>Table13[[#This Row],[Sales]]/Table13[[#This Row],[Unique Visitors]]</f>
        <v>8.1603708581277599E-3</v>
      </c>
      <c r="L266"/>
    </row>
    <row r="267" spans="1:12" x14ac:dyDescent="0.2">
      <c r="A267" s="2" t="s">
        <v>61</v>
      </c>
      <c r="B267" s="2" t="s">
        <v>30</v>
      </c>
      <c r="C267" s="2" t="s">
        <v>67</v>
      </c>
      <c r="D267" s="2" t="s">
        <v>73</v>
      </c>
      <c r="E267" s="2" t="s">
        <v>75</v>
      </c>
      <c r="F267" s="2" t="s">
        <v>77</v>
      </c>
      <c r="G267" s="2">
        <v>2025</v>
      </c>
      <c r="H267" s="3">
        <v>9740</v>
      </c>
      <c r="I267" s="3">
        <v>1185181.9081632034</v>
      </c>
      <c r="J267" s="4">
        <f>Table13[[#This Row],[Unique Visitors]]/Table13[[#This Row],[Sales]]</f>
        <v>121.68192075597571</v>
      </c>
      <c r="K267" s="5">
        <f>Table13[[#This Row],[Sales]]/Table13[[#This Row],[Unique Visitors]]</f>
        <v>8.218147723074061E-3</v>
      </c>
      <c r="L267"/>
    </row>
    <row r="268" spans="1:12" x14ac:dyDescent="0.2">
      <c r="A268" s="2" t="s">
        <v>65</v>
      </c>
      <c r="B268" s="2" t="s">
        <v>28</v>
      </c>
      <c r="C268" s="2" t="s">
        <v>64</v>
      </c>
      <c r="D268" s="2" t="s">
        <v>73</v>
      </c>
      <c r="E268" s="2" t="s">
        <v>75</v>
      </c>
      <c r="F268" s="2" t="s">
        <v>78</v>
      </c>
      <c r="G268" s="2">
        <v>2025</v>
      </c>
      <c r="H268" s="3">
        <v>9728</v>
      </c>
      <c r="I268" s="2">
        <f>286749+871924</f>
        <v>1158673</v>
      </c>
      <c r="J268" s="4">
        <f>Table13[[#This Row],[Unique Visitors]]/Table13[[#This Row],[Sales]]</f>
        <v>119.10701069078948</v>
      </c>
      <c r="K268" s="5">
        <f>Table13[[#This Row],[Sales]]/Table13[[#This Row],[Unique Visitors]]</f>
        <v>8.395811415300089E-3</v>
      </c>
      <c r="L268"/>
    </row>
    <row r="269" spans="1:12" x14ac:dyDescent="0.2">
      <c r="A269" s="2" t="s">
        <v>60</v>
      </c>
      <c r="B269" s="2" t="s">
        <v>26</v>
      </c>
      <c r="C269" s="2" t="s">
        <v>69</v>
      </c>
      <c r="D269" s="2" t="s">
        <v>73</v>
      </c>
      <c r="E269" s="2" t="s">
        <v>75</v>
      </c>
      <c r="F269" s="2" t="s">
        <v>77</v>
      </c>
      <c r="G269" s="2">
        <v>2025</v>
      </c>
      <c r="H269" s="3">
        <v>9717</v>
      </c>
      <c r="I269" s="3">
        <v>6499259.1858484317</v>
      </c>
      <c r="J269" s="4">
        <f>Table13[[#This Row],[Unique Visitors]]/Table13[[#This Row],[Sales]]</f>
        <v>668.85450096206978</v>
      </c>
      <c r="K269" s="5">
        <f>Table13[[#This Row],[Sales]]/Table13[[#This Row],[Unique Visitors]]</f>
        <v>1.4950934748313958E-3</v>
      </c>
      <c r="L269"/>
    </row>
    <row r="270" spans="1:12" x14ac:dyDescent="0.2">
      <c r="A270" s="2" t="s">
        <v>65</v>
      </c>
      <c r="B270" s="2" t="s">
        <v>36</v>
      </c>
      <c r="C270" s="2" t="s">
        <v>69</v>
      </c>
      <c r="D270" s="2" t="s">
        <v>72</v>
      </c>
      <c r="E270" s="2" t="s">
        <v>75</v>
      </c>
      <c r="F270" s="2" t="s">
        <v>77</v>
      </c>
      <c r="G270" s="2">
        <v>2025</v>
      </c>
      <c r="H270" s="3">
        <v>9449</v>
      </c>
      <c r="I270" s="3">
        <v>1336707</v>
      </c>
      <c r="J270" s="4">
        <f>Table13[[#This Row],[Unique Visitors]]/Table13[[#This Row],[Sales]]</f>
        <v>141.46544607895015</v>
      </c>
      <c r="K270" s="5">
        <f>Table13[[#This Row],[Sales]]/Table13[[#This Row],[Unique Visitors]]</f>
        <v>7.0688640068466762E-3</v>
      </c>
      <c r="L270"/>
    </row>
    <row r="271" spans="1:12" x14ac:dyDescent="0.2">
      <c r="A271" s="2" t="s">
        <v>65</v>
      </c>
      <c r="B271" s="2" t="s">
        <v>42</v>
      </c>
      <c r="C271" s="2" t="s">
        <v>62</v>
      </c>
      <c r="D271" s="2" t="s">
        <v>73</v>
      </c>
      <c r="E271" s="2" t="s">
        <v>75</v>
      </c>
      <c r="F271" s="2" t="s">
        <v>77</v>
      </c>
      <c r="G271" s="2">
        <v>2025</v>
      </c>
      <c r="H271" s="3">
        <v>9343</v>
      </c>
      <c r="I271" s="3">
        <v>833895.82904546324</v>
      </c>
      <c r="J271" s="4">
        <f>Table13[[#This Row],[Unique Visitors]]/Table13[[#This Row],[Sales]]</f>
        <v>89.253540516478992</v>
      </c>
      <c r="K271" s="5">
        <f>Table13[[#This Row],[Sales]]/Table13[[#This Row],[Unique Visitors]]</f>
        <v>1.1204037332450343E-2</v>
      </c>
      <c r="L271"/>
    </row>
    <row r="272" spans="1:12" x14ac:dyDescent="0.2">
      <c r="A272" s="2" t="s">
        <v>60</v>
      </c>
      <c r="B272" s="2" t="s">
        <v>34</v>
      </c>
      <c r="C272" s="2" t="s">
        <v>62</v>
      </c>
      <c r="D272" s="2" t="s">
        <v>72</v>
      </c>
      <c r="E272" s="2" t="s">
        <v>75</v>
      </c>
      <c r="F272" s="2" t="s">
        <v>77</v>
      </c>
      <c r="G272" s="2">
        <v>2024</v>
      </c>
      <c r="H272" s="3">
        <v>9339</v>
      </c>
      <c r="I272" s="3">
        <v>4316591.1438773936</v>
      </c>
      <c r="J272" s="4">
        <f>Table13[[#This Row],[Unique Visitors]]/Table13[[#This Row],[Sales]]</f>
        <v>462.21127999543779</v>
      </c>
      <c r="K272" s="5">
        <f>Table13[[#This Row],[Sales]]/Table13[[#This Row],[Unique Visitors]]</f>
        <v>2.1635127554867776E-3</v>
      </c>
      <c r="L272"/>
    </row>
    <row r="273" spans="1:12" x14ac:dyDescent="0.2">
      <c r="A273" s="2" t="s">
        <v>65</v>
      </c>
      <c r="B273" s="2" t="s">
        <v>36</v>
      </c>
      <c r="C273" s="2" t="s">
        <v>69</v>
      </c>
      <c r="D273" s="2" t="s">
        <v>72</v>
      </c>
      <c r="E273" s="2" t="s">
        <v>75</v>
      </c>
      <c r="F273" s="2" t="s">
        <v>77</v>
      </c>
      <c r="G273" s="2">
        <v>2024</v>
      </c>
      <c r="H273" s="3">
        <v>9159</v>
      </c>
      <c r="I273" s="3">
        <v>1330000</v>
      </c>
      <c r="J273" s="4">
        <f>Table13[[#This Row],[Unique Visitors]]/Table13[[#This Row],[Sales]]</f>
        <v>145.21235942788513</v>
      </c>
      <c r="K273" s="5">
        <f>Table13[[#This Row],[Sales]]/Table13[[#This Row],[Unique Visitors]]</f>
        <v>6.8864661654135335E-3</v>
      </c>
      <c r="L273"/>
    </row>
    <row r="274" spans="1:12" x14ac:dyDescent="0.2">
      <c r="A274" s="2" t="s">
        <v>11</v>
      </c>
      <c r="B274" s="2" t="s">
        <v>30</v>
      </c>
      <c r="C274" s="2" t="s">
        <v>67</v>
      </c>
      <c r="D274" s="2" t="s">
        <v>73</v>
      </c>
      <c r="E274" s="2" t="s">
        <v>75</v>
      </c>
      <c r="F274" s="2" t="s">
        <v>77</v>
      </c>
      <c r="G274" s="2">
        <v>2024</v>
      </c>
      <c r="H274" s="3">
        <v>9041</v>
      </c>
      <c r="I274" s="3">
        <v>844260.44072499487</v>
      </c>
      <c r="J274" s="4">
        <f>Table13[[#This Row],[Unique Visitors]]/Table13[[#This Row],[Sales]]</f>
        <v>93.381311881981517</v>
      </c>
      <c r="K274" s="5">
        <f>Table13[[#This Row],[Sales]]/Table13[[#This Row],[Unique Visitors]]</f>
        <v>1.0708780802563945E-2</v>
      </c>
      <c r="L274"/>
    </row>
    <row r="275" spans="1:12" x14ac:dyDescent="0.2">
      <c r="A275" s="2" t="s">
        <v>11</v>
      </c>
      <c r="B275" s="2" t="s">
        <v>22</v>
      </c>
      <c r="C275" s="2" t="s">
        <v>60</v>
      </c>
      <c r="D275" s="2" t="s">
        <v>73</v>
      </c>
      <c r="E275" s="2" t="s">
        <v>75</v>
      </c>
      <c r="F275" s="2" t="s">
        <v>77</v>
      </c>
      <c r="G275" s="2">
        <v>2025</v>
      </c>
      <c r="H275" s="3">
        <v>8902</v>
      </c>
      <c r="I275" s="3">
        <v>766138.76495767769</v>
      </c>
      <c r="J275" s="4">
        <f>Table13[[#This Row],[Unique Visitors]]/Table13[[#This Row],[Sales]]</f>
        <v>86.063667148694421</v>
      </c>
      <c r="K275" s="5">
        <f>Table13[[#This Row],[Sales]]/Table13[[#This Row],[Unique Visitors]]</f>
        <v>1.1619305023015974E-2</v>
      </c>
      <c r="L275"/>
    </row>
    <row r="276" spans="1:12" x14ac:dyDescent="0.2">
      <c r="A276" s="2" t="s">
        <v>11</v>
      </c>
      <c r="B276" s="2" t="s">
        <v>16</v>
      </c>
      <c r="C276" s="2" t="s">
        <v>64</v>
      </c>
      <c r="D276" s="2" t="s">
        <v>72</v>
      </c>
      <c r="E276" s="2" t="s">
        <v>75</v>
      </c>
      <c r="F276" s="2" t="s">
        <v>78</v>
      </c>
      <c r="G276" s="2">
        <v>2024</v>
      </c>
      <c r="H276" s="3">
        <v>8788</v>
      </c>
      <c r="I276" s="3">
        <v>1083483.6268536239</v>
      </c>
      <c r="J276" s="4">
        <f>Table13[[#This Row],[Unique Visitors]]/Table13[[#This Row],[Sales]]</f>
        <v>123.29126386591078</v>
      </c>
      <c r="K276" s="5">
        <f>Table13[[#This Row],[Sales]]/Table13[[#This Row],[Unique Visitors]]</f>
        <v>8.1108747582276462E-3</v>
      </c>
      <c r="L276"/>
    </row>
    <row r="277" spans="1:12" x14ac:dyDescent="0.2">
      <c r="A277" s="2" t="s">
        <v>11</v>
      </c>
      <c r="B277" s="2" t="s">
        <v>46</v>
      </c>
      <c r="C277" s="2" t="s">
        <v>70</v>
      </c>
      <c r="D277" s="2" t="s">
        <v>72</v>
      </c>
      <c r="E277" s="2" t="s">
        <v>76</v>
      </c>
      <c r="F277" s="2" t="s">
        <v>77</v>
      </c>
      <c r="G277" s="2">
        <v>2024</v>
      </c>
      <c r="H277" s="3">
        <v>8693</v>
      </c>
      <c r="I277" s="3">
        <v>1869237.6560440389</v>
      </c>
      <c r="J277" s="4">
        <f>Table13[[#This Row],[Unique Visitors]]/Table13[[#This Row],[Sales]]</f>
        <v>215.02791395882193</v>
      </c>
      <c r="K277" s="5">
        <f>Table13[[#This Row],[Sales]]/Table13[[#This Row],[Unique Visitors]]</f>
        <v>4.6505589976169378E-3</v>
      </c>
      <c r="L277"/>
    </row>
    <row r="278" spans="1:12" x14ac:dyDescent="0.2">
      <c r="A278" s="2" t="s">
        <v>61</v>
      </c>
      <c r="B278" s="2" t="s">
        <v>39</v>
      </c>
      <c r="C278" s="2" t="s">
        <v>69</v>
      </c>
      <c r="D278" s="2" t="s">
        <v>73</v>
      </c>
      <c r="E278" s="2" t="s">
        <v>75</v>
      </c>
      <c r="F278" s="2" t="s">
        <v>77</v>
      </c>
      <c r="G278" s="2">
        <v>2024</v>
      </c>
      <c r="H278" s="3">
        <v>8608</v>
      </c>
      <c r="I278" s="3">
        <v>1597405.1692710051</v>
      </c>
      <c r="J278" s="4">
        <f>Table13[[#This Row],[Unique Visitors]]/Table13[[#This Row],[Sales]]</f>
        <v>185.5721618576911</v>
      </c>
      <c r="K278" s="5">
        <f>Table13[[#This Row],[Sales]]/Table13[[#This Row],[Unique Visitors]]</f>
        <v>5.3887392914399816E-3</v>
      </c>
      <c r="L278"/>
    </row>
    <row r="279" spans="1:12" x14ac:dyDescent="0.2">
      <c r="A279" s="2" t="s">
        <v>61</v>
      </c>
      <c r="B279" s="2" t="s">
        <v>39</v>
      </c>
      <c r="C279" s="2" t="s">
        <v>69</v>
      </c>
      <c r="D279" s="2" t="s">
        <v>73</v>
      </c>
      <c r="E279" s="2" t="s">
        <v>75</v>
      </c>
      <c r="F279" s="2" t="s">
        <v>77</v>
      </c>
      <c r="G279" s="2">
        <v>2025</v>
      </c>
      <c r="H279" s="3">
        <v>8354</v>
      </c>
      <c r="I279" s="3">
        <v>1612889.7468441669</v>
      </c>
      <c r="J279" s="4">
        <f>Table13[[#This Row],[Unique Visitors]]/Table13[[#This Row],[Sales]]</f>
        <v>193.06796107782702</v>
      </c>
      <c r="K279" s="5">
        <f>Table13[[#This Row],[Sales]]/Table13[[#This Row],[Unique Visitors]]</f>
        <v>5.1795232850513871E-3</v>
      </c>
      <c r="L279"/>
    </row>
    <row r="280" spans="1:12" x14ac:dyDescent="0.2">
      <c r="A280" s="2" t="s">
        <v>60</v>
      </c>
      <c r="B280" s="2" t="s">
        <v>49</v>
      </c>
      <c r="C280" s="2" t="s">
        <v>65</v>
      </c>
      <c r="D280" s="2" t="s">
        <v>73</v>
      </c>
      <c r="E280" s="2" t="s">
        <v>75</v>
      </c>
      <c r="F280" s="2" t="s">
        <v>77</v>
      </c>
      <c r="G280" s="2">
        <v>2025</v>
      </c>
      <c r="H280" s="3">
        <v>8291</v>
      </c>
      <c r="I280" s="3">
        <v>1460000</v>
      </c>
      <c r="J280" s="4">
        <f>Table13[[#This Row],[Unique Visitors]]/Table13[[#This Row],[Sales]]</f>
        <v>176.09456036666265</v>
      </c>
      <c r="K280" s="5">
        <f>Table13[[#This Row],[Sales]]/Table13[[#This Row],[Unique Visitors]]</f>
        <v>5.6787671232876712E-3</v>
      </c>
      <c r="L280"/>
    </row>
    <row r="281" spans="1:12" x14ac:dyDescent="0.2">
      <c r="A281" s="2" t="s">
        <v>60</v>
      </c>
      <c r="B281" s="2" t="s">
        <v>47</v>
      </c>
      <c r="C281" s="2" t="s">
        <v>63</v>
      </c>
      <c r="D281" s="2" t="s">
        <v>74</v>
      </c>
      <c r="E281" s="2" t="s">
        <v>75</v>
      </c>
      <c r="F281" s="2" t="s">
        <v>77</v>
      </c>
      <c r="G281" s="2">
        <v>2024</v>
      </c>
      <c r="H281" s="3">
        <v>8211</v>
      </c>
      <c r="I281" s="3">
        <v>2241381.4826267837</v>
      </c>
      <c r="J281" s="4">
        <f>Table13[[#This Row],[Unique Visitors]]/Table13[[#This Row],[Sales]]</f>
        <v>272.97302187635898</v>
      </c>
      <c r="K281" s="5">
        <f>Table13[[#This Row],[Sales]]/Table13[[#This Row],[Unique Visitors]]</f>
        <v>3.6633656803379722E-3</v>
      </c>
      <c r="L281"/>
    </row>
    <row r="282" spans="1:12" x14ac:dyDescent="0.2">
      <c r="A282" s="2" t="s">
        <v>60</v>
      </c>
      <c r="B282" s="2" t="s">
        <v>44</v>
      </c>
      <c r="C282" s="2" t="s">
        <v>64</v>
      </c>
      <c r="D282" s="2" t="s">
        <v>73</v>
      </c>
      <c r="E282" s="2" t="s">
        <v>75</v>
      </c>
      <c r="F282" s="2" t="s">
        <v>78</v>
      </c>
      <c r="G282" s="2">
        <v>2025</v>
      </c>
      <c r="H282" s="3">
        <v>8143</v>
      </c>
      <c r="I282" s="2">
        <f>3740000/2</f>
        <v>1870000</v>
      </c>
      <c r="J282" s="4">
        <f>Table13[[#This Row],[Unique Visitors]]/Table13[[#This Row],[Sales]]</f>
        <v>229.64509394572025</v>
      </c>
      <c r="K282" s="5">
        <f>Table13[[#This Row],[Sales]]/Table13[[#This Row],[Unique Visitors]]</f>
        <v>4.3545454545454547E-3</v>
      </c>
      <c r="L282"/>
    </row>
    <row r="283" spans="1:12" x14ac:dyDescent="0.2">
      <c r="A283" s="2" t="s">
        <v>65</v>
      </c>
      <c r="B283" s="2" t="s">
        <v>42</v>
      </c>
      <c r="C283" s="2" t="s">
        <v>62</v>
      </c>
      <c r="D283" s="2" t="s">
        <v>73</v>
      </c>
      <c r="E283" s="2" t="s">
        <v>75</v>
      </c>
      <c r="F283" s="2" t="s">
        <v>77</v>
      </c>
      <c r="G283" s="2">
        <v>2024</v>
      </c>
      <c r="H283" s="3">
        <v>7810</v>
      </c>
      <c r="I283" s="3">
        <v>854139.02580756962</v>
      </c>
      <c r="J283" s="4">
        <f>Table13[[#This Row],[Unique Visitors]]/Table13[[#This Row],[Sales]]</f>
        <v>109.36479203682069</v>
      </c>
      <c r="K283" s="5">
        <f>Table13[[#This Row],[Sales]]/Table13[[#This Row],[Unique Visitors]]</f>
        <v>9.1437105248947225E-3</v>
      </c>
      <c r="L283"/>
    </row>
    <row r="284" spans="1:12" x14ac:dyDescent="0.2">
      <c r="A284" s="2" t="s">
        <v>65</v>
      </c>
      <c r="B284" s="2" t="s">
        <v>44</v>
      </c>
      <c r="C284" s="2" t="s">
        <v>64</v>
      </c>
      <c r="D284" s="2" t="s">
        <v>73</v>
      </c>
      <c r="E284" s="2" t="s">
        <v>75</v>
      </c>
      <c r="F284" s="2" t="s">
        <v>78</v>
      </c>
      <c r="G284" s="2">
        <v>2024</v>
      </c>
      <c r="H284" s="3">
        <v>7786</v>
      </c>
      <c r="I284" s="2">
        <v>342352</v>
      </c>
      <c r="J284" s="4">
        <f>Table13[[#This Row],[Unique Visitors]]/Table13[[#This Row],[Sales]]</f>
        <v>43.970202928332903</v>
      </c>
      <c r="K284" s="5">
        <f>Table13[[#This Row],[Sales]]/Table13[[#This Row],[Unique Visitors]]</f>
        <v>2.2742674206664485E-2</v>
      </c>
      <c r="L284"/>
    </row>
    <row r="285" spans="1:12" x14ac:dyDescent="0.2">
      <c r="A285" s="2" t="s">
        <v>61</v>
      </c>
      <c r="B285" s="2" t="s">
        <v>16</v>
      </c>
      <c r="C285" s="2" t="s">
        <v>64</v>
      </c>
      <c r="D285" s="2" t="s">
        <v>72</v>
      </c>
      <c r="E285" s="2" t="s">
        <v>75</v>
      </c>
      <c r="F285" s="2" t="s">
        <v>78</v>
      </c>
      <c r="G285" s="2">
        <v>2025</v>
      </c>
      <c r="H285" s="3">
        <v>7473</v>
      </c>
      <c r="I285" s="3">
        <v>2130161.2544993046</v>
      </c>
      <c r="J285" s="4">
        <f>Table13[[#This Row],[Unique Visitors]]/Table13[[#This Row],[Sales]]</f>
        <v>285.04767221989891</v>
      </c>
      <c r="K285" s="5">
        <f>Table13[[#This Row],[Sales]]/Table13[[#This Row],[Unique Visitors]]</f>
        <v>3.5081851123785145E-3</v>
      </c>
      <c r="L285"/>
    </row>
    <row r="286" spans="1:12" x14ac:dyDescent="0.2">
      <c r="A286" s="2" t="s">
        <v>60</v>
      </c>
      <c r="B286" s="2" t="s">
        <v>35</v>
      </c>
      <c r="C286" s="2" t="s">
        <v>64</v>
      </c>
      <c r="D286" s="2" t="s">
        <v>73</v>
      </c>
      <c r="E286" s="2" t="s">
        <v>75</v>
      </c>
      <c r="F286" s="2" t="s">
        <v>78</v>
      </c>
      <c r="G286" s="2">
        <v>2025</v>
      </c>
      <c r="H286" s="3">
        <v>7469</v>
      </c>
      <c r="I286" s="2">
        <v>2822000</v>
      </c>
      <c r="J286" s="4">
        <f>Table13[[#This Row],[Unique Visitors]]/Table13[[#This Row],[Sales]]</f>
        <v>377.82835720980052</v>
      </c>
      <c r="K286" s="5">
        <f>Table13[[#This Row],[Sales]]/Table13[[#This Row],[Unique Visitors]]</f>
        <v>2.6467044649184975E-3</v>
      </c>
      <c r="L286"/>
    </row>
    <row r="287" spans="1:12" x14ac:dyDescent="0.2">
      <c r="A287" s="2" t="s">
        <v>60</v>
      </c>
      <c r="B287" s="2" t="s">
        <v>26</v>
      </c>
      <c r="C287" s="2" t="s">
        <v>69</v>
      </c>
      <c r="D287" s="2" t="s">
        <v>73</v>
      </c>
      <c r="E287" s="2" t="s">
        <v>75</v>
      </c>
      <c r="F287" s="2" t="s">
        <v>77</v>
      </c>
      <c r="G287" s="2">
        <v>2024</v>
      </c>
      <c r="H287" s="3">
        <v>7449</v>
      </c>
      <c r="I287" s="3">
        <v>5100371.7752606412</v>
      </c>
      <c r="J287" s="4">
        <f>Table13[[#This Row],[Unique Visitors]]/Table13[[#This Row],[Sales]]</f>
        <v>684.70556789644797</v>
      </c>
      <c r="K287" s="5">
        <f>Table13[[#This Row],[Sales]]/Table13[[#This Row],[Unique Visitors]]</f>
        <v>1.4604817703939509E-3</v>
      </c>
      <c r="L287"/>
    </row>
    <row r="288" spans="1:12" x14ac:dyDescent="0.2">
      <c r="A288" s="2" t="s">
        <v>63</v>
      </c>
      <c r="B288" s="2" t="s">
        <v>12</v>
      </c>
      <c r="C288" s="2" t="s">
        <v>60</v>
      </c>
      <c r="D288" s="2" t="s">
        <v>72</v>
      </c>
      <c r="E288" s="2" t="s">
        <v>75</v>
      </c>
      <c r="F288" s="2" t="s">
        <v>77</v>
      </c>
      <c r="G288" s="2">
        <v>2025</v>
      </c>
      <c r="H288" s="3">
        <v>7346</v>
      </c>
      <c r="I288" s="3">
        <v>934287.80347986997</v>
      </c>
      <c r="J288" s="4">
        <f>Table13[[#This Row],[Unique Visitors]]/Table13[[#This Row],[Sales]]</f>
        <v>127.18320221615437</v>
      </c>
      <c r="K288" s="5">
        <f>Table13[[#This Row],[Sales]]/Table13[[#This Row],[Unique Visitors]]</f>
        <v>7.8626735494554453E-3</v>
      </c>
      <c r="L288"/>
    </row>
    <row r="289" spans="1:12" x14ac:dyDescent="0.2">
      <c r="A289" s="2" t="s">
        <v>60</v>
      </c>
      <c r="B289" s="2" t="s">
        <v>28</v>
      </c>
      <c r="C289" s="2" t="s">
        <v>64</v>
      </c>
      <c r="D289" s="2" t="s">
        <v>73</v>
      </c>
      <c r="E289" s="2" t="s">
        <v>75</v>
      </c>
      <c r="F289" s="2" t="s">
        <v>78</v>
      </c>
      <c r="G289" s="2">
        <v>2025</v>
      </c>
      <c r="H289" s="3">
        <v>7307</v>
      </c>
      <c r="I289" s="2">
        <v>1870000</v>
      </c>
      <c r="J289" s="4">
        <f>Table13[[#This Row],[Unique Visitors]]/Table13[[#This Row],[Sales]]</f>
        <v>255.91898179827564</v>
      </c>
      <c r="K289" s="5">
        <f>Table13[[#This Row],[Sales]]/Table13[[#This Row],[Unique Visitors]]</f>
        <v>3.9074866310160432E-3</v>
      </c>
      <c r="L289"/>
    </row>
    <row r="290" spans="1:12" x14ac:dyDescent="0.2">
      <c r="A290" s="2" t="s">
        <v>63</v>
      </c>
      <c r="B290" s="2" t="s">
        <v>35</v>
      </c>
      <c r="C290" s="2" t="s">
        <v>64</v>
      </c>
      <c r="D290" s="2" t="s">
        <v>73</v>
      </c>
      <c r="E290" s="2" t="s">
        <v>75</v>
      </c>
      <c r="F290" s="2" t="s">
        <v>78</v>
      </c>
      <c r="G290" s="2">
        <v>2025</v>
      </c>
      <c r="H290" s="3">
        <v>7280</v>
      </c>
      <c r="I290" s="2">
        <v>1453000</v>
      </c>
      <c r="J290" s="4">
        <f>Table13[[#This Row],[Unique Visitors]]/Table13[[#This Row],[Sales]]</f>
        <v>199.58791208791209</v>
      </c>
      <c r="K290" s="5">
        <f>Table13[[#This Row],[Sales]]/Table13[[#This Row],[Unique Visitors]]</f>
        <v>5.0103234686854781E-3</v>
      </c>
      <c r="L290"/>
    </row>
    <row r="291" spans="1:12" x14ac:dyDescent="0.2">
      <c r="A291" s="2" t="s">
        <v>63</v>
      </c>
      <c r="B291" s="2" t="s">
        <v>26</v>
      </c>
      <c r="C291" s="2" t="s">
        <v>69</v>
      </c>
      <c r="D291" s="2" t="s">
        <v>73</v>
      </c>
      <c r="E291" s="2" t="s">
        <v>75</v>
      </c>
      <c r="F291" s="2" t="s">
        <v>77</v>
      </c>
      <c r="G291" s="2">
        <v>2025</v>
      </c>
      <c r="H291" s="3">
        <v>7269</v>
      </c>
      <c r="I291" s="3">
        <v>3566234.4719482507</v>
      </c>
      <c r="J291" s="4">
        <f>Table13[[#This Row],[Unique Visitors]]/Table13[[#This Row],[Sales]]</f>
        <v>490.60867683976483</v>
      </c>
      <c r="K291" s="5">
        <f>Table13[[#This Row],[Sales]]/Table13[[#This Row],[Unique Visitors]]</f>
        <v>2.0382843745069042E-3</v>
      </c>
      <c r="L291"/>
    </row>
    <row r="292" spans="1:12" x14ac:dyDescent="0.2">
      <c r="A292" s="2" t="s">
        <v>61</v>
      </c>
      <c r="B292" s="2" t="s">
        <v>36</v>
      </c>
      <c r="C292" s="2" t="s">
        <v>69</v>
      </c>
      <c r="D292" s="2" t="s">
        <v>72</v>
      </c>
      <c r="E292" s="2" t="s">
        <v>75</v>
      </c>
      <c r="F292" s="2" t="s">
        <v>77</v>
      </c>
      <c r="G292" s="2">
        <v>2024</v>
      </c>
      <c r="H292" s="3">
        <v>7203</v>
      </c>
      <c r="I292" s="3">
        <v>1172858.2536023238</v>
      </c>
      <c r="J292" s="4">
        <f>Table13[[#This Row],[Unique Visitors]]/Table13[[#This Row],[Sales]]</f>
        <v>162.82913419440843</v>
      </c>
      <c r="K292" s="5">
        <f>Table13[[#This Row],[Sales]]/Table13[[#This Row],[Unique Visitors]]</f>
        <v>6.1414070949125038E-3</v>
      </c>
      <c r="L292"/>
    </row>
    <row r="293" spans="1:12" x14ac:dyDescent="0.2">
      <c r="A293" s="2" t="s">
        <v>60</v>
      </c>
      <c r="B293" s="2" t="s">
        <v>47</v>
      </c>
      <c r="C293" s="2" t="s">
        <v>63</v>
      </c>
      <c r="D293" s="2" t="s">
        <v>74</v>
      </c>
      <c r="E293" s="2" t="s">
        <v>75</v>
      </c>
      <c r="F293" s="2" t="s">
        <v>77</v>
      </c>
      <c r="G293" s="2">
        <v>2025</v>
      </c>
      <c r="H293" s="3">
        <v>7120</v>
      </c>
      <c r="I293" s="3">
        <v>2297705.3367511262</v>
      </c>
      <c r="J293" s="4">
        <f>Table13[[#This Row],[Unique Visitors]]/Table13[[#This Row],[Sales]]</f>
        <v>322.71142370100085</v>
      </c>
      <c r="K293" s="5">
        <f>Table13[[#This Row],[Sales]]/Table13[[#This Row],[Unique Visitors]]</f>
        <v>3.0987437275431613E-3</v>
      </c>
      <c r="L293"/>
    </row>
    <row r="294" spans="1:12" x14ac:dyDescent="0.2">
      <c r="A294" s="2" t="s">
        <v>63</v>
      </c>
      <c r="B294" s="2" t="s">
        <v>26</v>
      </c>
      <c r="C294" s="2" t="s">
        <v>69</v>
      </c>
      <c r="D294" s="2" t="s">
        <v>73</v>
      </c>
      <c r="E294" s="2" t="s">
        <v>75</v>
      </c>
      <c r="F294" s="2" t="s">
        <v>77</v>
      </c>
      <c r="G294" s="2">
        <v>2024</v>
      </c>
      <c r="H294" s="3">
        <v>7063</v>
      </c>
      <c r="I294" s="3">
        <v>3424615.5036380482</v>
      </c>
      <c r="J294" s="4">
        <f>Table13[[#This Row],[Unique Visitors]]/Table13[[#This Row],[Sales]]</f>
        <v>484.8669833835549</v>
      </c>
      <c r="K294" s="5">
        <f>Table13[[#This Row],[Sales]]/Table13[[#This Row],[Unique Visitors]]</f>
        <v>2.0624213119682521E-3</v>
      </c>
      <c r="L294"/>
    </row>
    <row r="295" spans="1:12" x14ac:dyDescent="0.2">
      <c r="A295" s="2" t="s">
        <v>60</v>
      </c>
      <c r="B295" s="2" t="s">
        <v>34</v>
      </c>
      <c r="C295" s="2" t="s">
        <v>62</v>
      </c>
      <c r="D295" s="2" t="s">
        <v>72</v>
      </c>
      <c r="E295" s="2" t="s">
        <v>75</v>
      </c>
      <c r="F295" s="2" t="s">
        <v>77</v>
      </c>
      <c r="G295" s="2">
        <v>2025</v>
      </c>
      <c r="H295" s="3">
        <v>6994</v>
      </c>
      <c r="I295" s="3">
        <v>1875647.5338450356</v>
      </c>
      <c r="J295" s="4">
        <f>Table13[[#This Row],[Unique Visitors]]/Table13[[#This Row],[Sales]]</f>
        <v>268.17951584858957</v>
      </c>
      <c r="K295" s="5">
        <f>Table13[[#This Row],[Sales]]/Table13[[#This Row],[Unique Visitors]]</f>
        <v>3.728845571354473E-3</v>
      </c>
      <c r="L295"/>
    </row>
    <row r="296" spans="1:12" x14ac:dyDescent="0.2">
      <c r="A296" s="2" t="s">
        <v>65</v>
      </c>
      <c r="B296" s="2" t="s">
        <v>53</v>
      </c>
      <c r="C296" s="2" t="s">
        <v>69</v>
      </c>
      <c r="D296" s="2" t="s">
        <v>73</v>
      </c>
      <c r="E296" s="2" t="s">
        <v>75</v>
      </c>
      <c r="F296" s="2" t="s">
        <v>77</v>
      </c>
      <c r="G296" s="2">
        <v>2024</v>
      </c>
      <c r="H296" s="3">
        <v>6821</v>
      </c>
      <c r="I296" s="3">
        <v>2431477.8327946006</v>
      </c>
      <c r="J296" s="4">
        <f>Table13[[#This Row],[Unique Visitors]]/Table13[[#This Row],[Sales]]</f>
        <v>356.46940812118464</v>
      </c>
      <c r="K296" s="5">
        <f>Table13[[#This Row],[Sales]]/Table13[[#This Row],[Unique Visitors]]</f>
        <v>2.8052898151081787E-3</v>
      </c>
      <c r="L296"/>
    </row>
    <row r="297" spans="1:12" x14ac:dyDescent="0.2">
      <c r="A297" s="2" t="s">
        <v>61</v>
      </c>
      <c r="B297" s="2" t="s">
        <v>47</v>
      </c>
      <c r="C297" s="2" t="s">
        <v>63</v>
      </c>
      <c r="D297" s="2" t="s">
        <v>74</v>
      </c>
      <c r="E297" s="2" t="s">
        <v>75</v>
      </c>
      <c r="F297" s="2" t="s">
        <v>77</v>
      </c>
      <c r="G297" s="2">
        <v>2024</v>
      </c>
      <c r="H297" s="3">
        <v>6573</v>
      </c>
      <c r="I297" s="3">
        <v>2394196.6140618459</v>
      </c>
      <c r="J297" s="4">
        <f>Table13[[#This Row],[Unique Visitors]]/Table13[[#This Row],[Sales]]</f>
        <v>364.24716477435658</v>
      </c>
      <c r="K297" s="5">
        <f>Table13[[#This Row],[Sales]]/Table13[[#This Row],[Unique Visitors]]</f>
        <v>2.7453885622403646E-3</v>
      </c>
      <c r="L297"/>
    </row>
    <row r="298" spans="1:12" x14ac:dyDescent="0.2">
      <c r="A298" s="2" t="s">
        <v>60</v>
      </c>
      <c r="B298" s="2" t="s">
        <v>36</v>
      </c>
      <c r="C298" s="2" t="s">
        <v>69</v>
      </c>
      <c r="D298" s="2" t="s">
        <v>72</v>
      </c>
      <c r="E298" s="2" t="s">
        <v>75</v>
      </c>
      <c r="F298" s="2" t="s">
        <v>77</v>
      </c>
      <c r="G298" s="2">
        <v>2025</v>
      </c>
      <c r="H298" s="3">
        <v>6435</v>
      </c>
      <c r="I298" s="3">
        <v>1484385.3417380243</v>
      </c>
      <c r="J298" s="4">
        <f>Table13[[#This Row],[Unique Visitors]]/Table13[[#This Row],[Sales]]</f>
        <v>230.67371277980175</v>
      </c>
      <c r="K298" s="5">
        <f>Table13[[#This Row],[Sales]]/Table13[[#This Row],[Unique Visitors]]</f>
        <v>4.335127691617759E-3</v>
      </c>
      <c r="L298"/>
    </row>
    <row r="299" spans="1:12" x14ac:dyDescent="0.2">
      <c r="A299" s="2" t="s">
        <v>61</v>
      </c>
      <c r="B299" s="2" t="s">
        <v>12</v>
      </c>
      <c r="C299" s="2" t="s">
        <v>60</v>
      </c>
      <c r="D299" s="2" t="s">
        <v>72</v>
      </c>
      <c r="E299" s="2" t="s">
        <v>75</v>
      </c>
      <c r="F299" s="2" t="s">
        <v>77</v>
      </c>
      <c r="G299" s="2">
        <v>2025</v>
      </c>
      <c r="H299" s="3">
        <v>6202</v>
      </c>
      <c r="I299" s="3">
        <v>890496.50322679791</v>
      </c>
      <c r="J299" s="4">
        <f>Table13[[#This Row],[Unique Visitors]]/Table13[[#This Row],[Sales]]</f>
        <v>143.5821514393418</v>
      </c>
      <c r="K299" s="5">
        <f>Table13[[#This Row],[Sales]]/Table13[[#This Row],[Unique Visitors]]</f>
        <v>6.9646539627347993E-3</v>
      </c>
      <c r="L299"/>
    </row>
    <row r="300" spans="1:12" x14ac:dyDescent="0.2">
      <c r="A300" s="2" t="s">
        <v>61</v>
      </c>
      <c r="B300" s="2" t="s">
        <v>35</v>
      </c>
      <c r="C300" s="2" t="s">
        <v>64</v>
      </c>
      <c r="D300" s="2" t="s">
        <v>73</v>
      </c>
      <c r="E300" s="2" t="s">
        <v>75</v>
      </c>
      <c r="F300" s="2" t="s">
        <v>78</v>
      </c>
      <c r="G300" s="2">
        <v>2025</v>
      </c>
      <c r="H300" s="3">
        <v>6175</v>
      </c>
      <c r="I300" s="2">
        <v>660059</v>
      </c>
      <c r="J300" s="4">
        <f>Table13[[#This Row],[Unique Visitors]]/Table13[[#This Row],[Sales]]</f>
        <v>106.89214574898786</v>
      </c>
      <c r="K300" s="5">
        <f>Table13[[#This Row],[Sales]]/Table13[[#This Row],[Unique Visitors]]</f>
        <v>9.3552243057060044E-3</v>
      </c>
      <c r="L300"/>
    </row>
    <row r="301" spans="1:12" x14ac:dyDescent="0.2">
      <c r="A301" s="2" t="s">
        <v>61</v>
      </c>
      <c r="B301" s="2" t="s">
        <v>36</v>
      </c>
      <c r="C301" s="2" t="s">
        <v>69</v>
      </c>
      <c r="D301" s="2" t="s">
        <v>72</v>
      </c>
      <c r="E301" s="2" t="s">
        <v>75</v>
      </c>
      <c r="F301" s="2" t="s">
        <v>77</v>
      </c>
      <c r="G301" s="2">
        <v>2025</v>
      </c>
      <c r="H301" s="3">
        <v>6150</v>
      </c>
      <c r="I301" s="3">
        <v>1258808.9588526031</v>
      </c>
      <c r="J301" s="4">
        <f>Table13[[#This Row],[Unique Visitors]]/Table13[[#This Row],[Sales]]</f>
        <v>204.68438355326879</v>
      </c>
      <c r="K301" s="5">
        <f>Table13[[#This Row],[Sales]]/Table13[[#This Row],[Unique Visitors]]</f>
        <v>4.8855705679165876E-3</v>
      </c>
      <c r="L301"/>
    </row>
    <row r="302" spans="1:12" x14ac:dyDescent="0.2">
      <c r="A302" s="2" t="s">
        <v>63</v>
      </c>
      <c r="B302" s="2" t="s">
        <v>12</v>
      </c>
      <c r="C302" s="2" t="s">
        <v>60</v>
      </c>
      <c r="D302" s="2" t="s">
        <v>72</v>
      </c>
      <c r="E302" s="2" t="s">
        <v>75</v>
      </c>
      <c r="F302" s="2" t="s">
        <v>77</v>
      </c>
      <c r="G302" s="2">
        <v>2024</v>
      </c>
      <c r="H302" s="3">
        <v>6098</v>
      </c>
      <c r="I302" s="3">
        <v>850295.62824712961</v>
      </c>
      <c r="J302" s="4">
        <f>Table13[[#This Row],[Unique Visitors]]/Table13[[#This Row],[Sales]]</f>
        <v>139.4384434645998</v>
      </c>
      <c r="K302" s="5">
        <f>Table13[[#This Row],[Sales]]/Table13[[#This Row],[Unique Visitors]]</f>
        <v>7.1716233712396313E-3</v>
      </c>
      <c r="L302"/>
    </row>
    <row r="303" spans="1:12" x14ac:dyDescent="0.2">
      <c r="A303" s="2" t="s">
        <v>60</v>
      </c>
      <c r="B303" s="2" t="s">
        <v>36</v>
      </c>
      <c r="C303" s="2" t="s">
        <v>69</v>
      </c>
      <c r="D303" s="2" t="s">
        <v>72</v>
      </c>
      <c r="E303" s="2" t="s">
        <v>75</v>
      </c>
      <c r="F303" s="2" t="s">
        <v>77</v>
      </c>
      <c r="G303" s="2">
        <v>2024</v>
      </c>
      <c r="H303" s="3">
        <v>6092</v>
      </c>
      <c r="I303" s="3">
        <v>1593859.6701425125</v>
      </c>
      <c r="J303" s="4">
        <f>Table13[[#This Row],[Unique Visitors]]/Table13[[#This Row],[Sales]]</f>
        <v>261.63159391702436</v>
      </c>
      <c r="K303" s="5">
        <f>Table13[[#This Row],[Sales]]/Table13[[#This Row],[Unique Visitors]]</f>
        <v>3.8221683590596738E-3</v>
      </c>
      <c r="L303"/>
    </row>
    <row r="304" spans="1:12" x14ac:dyDescent="0.2">
      <c r="A304" s="2" t="s">
        <v>63</v>
      </c>
      <c r="B304" s="2" t="s">
        <v>36</v>
      </c>
      <c r="C304" s="2" t="s">
        <v>69</v>
      </c>
      <c r="D304" s="2" t="s">
        <v>72</v>
      </c>
      <c r="E304" s="2" t="s">
        <v>75</v>
      </c>
      <c r="F304" s="2" t="s">
        <v>77</v>
      </c>
      <c r="G304" s="2">
        <v>2024</v>
      </c>
      <c r="H304" s="3">
        <v>5712</v>
      </c>
      <c r="I304" s="3">
        <v>1465879.2801753751</v>
      </c>
      <c r="J304" s="4">
        <f>Table13[[#This Row],[Unique Visitors]]/Table13[[#This Row],[Sales]]</f>
        <v>256.63152664134719</v>
      </c>
      <c r="K304" s="5">
        <f>Table13[[#This Row],[Sales]]/Table13[[#This Row],[Unique Visitors]]</f>
        <v>3.8966373815698023E-3</v>
      </c>
      <c r="L304"/>
    </row>
    <row r="305" spans="1:12" x14ac:dyDescent="0.2">
      <c r="A305" s="2" t="s">
        <v>65</v>
      </c>
      <c r="B305" s="2" t="s">
        <v>53</v>
      </c>
      <c r="C305" s="2" t="s">
        <v>69</v>
      </c>
      <c r="D305" s="2" t="s">
        <v>73</v>
      </c>
      <c r="E305" s="2" t="s">
        <v>75</v>
      </c>
      <c r="F305" s="2" t="s">
        <v>77</v>
      </c>
      <c r="G305" s="2">
        <v>2025</v>
      </c>
      <c r="H305" s="3">
        <v>5683</v>
      </c>
      <c r="I305" s="3">
        <v>2077283.938968844</v>
      </c>
      <c r="J305" s="4">
        <f>Table13[[#This Row],[Unique Visitors]]/Table13[[#This Row],[Sales]]</f>
        <v>365.52594386219323</v>
      </c>
      <c r="K305" s="5">
        <f>Table13[[#This Row],[Sales]]/Table13[[#This Row],[Unique Visitors]]</f>
        <v>2.7357839212009795E-3</v>
      </c>
      <c r="L305"/>
    </row>
    <row r="306" spans="1:12" x14ac:dyDescent="0.2">
      <c r="A306" s="2" t="s">
        <v>61</v>
      </c>
      <c r="B306" s="2" t="s">
        <v>26</v>
      </c>
      <c r="C306" s="2" t="s">
        <v>69</v>
      </c>
      <c r="D306" s="2" t="s">
        <v>73</v>
      </c>
      <c r="E306" s="2" t="s">
        <v>75</v>
      </c>
      <c r="F306" s="2" t="s">
        <v>77</v>
      </c>
      <c r="G306" s="2">
        <v>2025</v>
      </c>
      <c r="H306" s="3">
        <v>5500</v>
      </c>
      <c r="I306" s="3">
        <v>5167338.3225893211</v>
      </c>
      <c r="J306" s="4">
        <f>Table13[[#This Row],[Unique Visitors]]/Table13[[#This Row],[Sales]]</f>
        <v>939.51605865260387</v>
      </c>
      <c r="K306" s="5">
        <f>Table13[[#This Row],[Sales]]/Table13[[#This Row],[Unique Visitors]]</f>
        <v>1.0643777621365392E-3</v>
      </c>
      <c r="L306"/>
    </row>
    <row r="307" spans="1:12" x14ac:dyDescent="0.2">
      <c r="A307" s="2" t="s">
        <v>60</v>
      </c>
      <c r="B307" s="2" t="s">
        <v>20</v>
      </c>
      <c r="C307" s="2" t="s">
        <v>61</v>
      </c>
      <c r="D307" s="2" t="s">
        <v>73</v>
      </c>
      <c r="E307" s="2" t="s">
        <v>75</v>
      </c>
      <c r="F307" s="2" t="s">
        <v>77</v>
      </c>
      <c r="G307" s="2">
        <v>2024</v>
      </c>
      <c r="H307" s="3">
        <v>5410</v>
      </c>
      <c r="I307" s="3">
        <v>939653.63050926046</v>
      </c>
      <c r="J307" s="4">
        <f>Table13[[#This Row],[Unique Visitors]]/Table13[[#This Row],[Sales]]</f>
        <v>173.68828660060268</v>
      </c>
      <c r="K307" s="5">
        <f>Table13[[#This Row],[Sales]]/Table13[[#This Row],[Unique Visitors]]</f>
        <v>5.7574406401941563E-3</v>
      </c>
      <c r="L307"/>
    </row>
    <row r="308" spans="1:12" x14ac:dyDescent="0.2">
      <c r="A308" s="2" t="s">
        <v>65</v>
      </c>
      <c r="B308" s="2" t="s">
        <v>16</v>
      </c>
      <c r="C308" s="2" t="s">
        <v>64</v>
      </c>
      <c r="D308" s="2" t="s">
        <v>72</v>
      </c>
      <c r="E308" s="2" t="s">
        <v>75</v>
      </c>
      <c r="F308" s="2" t="s">
        <v>78</v>
      </c>
      <c r="G308" s="2">
        <v>2024</v>
      </c>
      <c r="H308" s="3">
        <v>5393</v>
      </c>
      <c r="I308" s="3">
        <v>948955.06810660614</v>
      </c>
      <c r="J308" s="4">
        <f>Table13[[#This Row],[Unique Visitors]]/Table13[[#This Row],[Sales]]</f>
        <v>175.96051698620548</v>
      </c>
      <c r="K308" s="5">
        <f>Table13[[#This Row],[Sales]]/Table13[[#This Row],[Unique Visitors]]</f>
        <v>5.6830931002458665E-3</v>
      </c>
      <c r="L308"/>
    </row>
    <row r="309" spans="1:12" x14ac:dyDescent="0.2">
      <c r="A309" s="2" t="s">
        <v>61</v>
      </c>
      <c r="B309" s="2" t="s">
        <v>13</v>
      </c>
      <c r="C309" s="2" t="s">
        <v>61</v>
      </c>
      <c r="D309" s="2" t="s">
        <v>73</v>
      </c>
      <c r="E309" s="2" t="s">
        <v>75</v>
      </c>
      <c r="F309" s="2" t="s">
        <v>77</v>
      </c>
      <c r="G309" s="2">
        <v>2025</v>
      </c>
      <c r="H309" s="3">
        <v>5381</v>
      </c>
      <c r="I309" s="3">
        <v>815872.04212038277</v>
      </c>
      <c r="J309" s="4">
        <f>Table13[[#This Row],[Unique Visitors]]/Table13[[#This Row],[Sales]]</f>
        <v>151.62089613833541</v>
      </c>
      <c r="K309" s="5">
        <f>Table13[[#This Row],[Sales]]/Table13[[#This Row],[Unique Visitors]]</f>
        <v>6.5953969767308532E-3</v>
      </c>
      <c r="L309"/>
    </row>
    <row r="310" spans="1:12" x14ac:dyDescent="0.2">
      <c r="A310" s="2" t="s">
        <v>65</v>
      </c>
      <c r="B310" s="2" t="s">
        <v>31</v>
      </c>
      <c r="C310" s="2" t="s">
        <v>68</v>
      </c>
      <c r="D310" s="2" t="s">
        <v>73</v>
      </c>
      <c r="E310" s="2" t="s">
        <v>75</v>
      </c>
      <c r="F310" s="2" t="s">
        <v>77</v>
      </c>
      <c r="G310" s="2">
        <v>2024</v>
      </c>
      <c r="H310" s="3">
        <v>5030</v>
      </c>
      <c r="I310" s="2">
        <v>337862</v>
      </c>
      <c r="J310" s="4">
        <f>Table13[[#This Row],[Unique Visitors]]/Table13[[#This Row],[Sales]]</f>
        <v>67.169383697813117</v>
      </c>
      <c r="K310" s="5">
        <f>Table13[[#This Row],[Sales]]/Table13[[#This Row],[Unique Visitors]]</f>
        <v>1.488773522917641E-2</v>
      </c>
      <c r="L310"/>
    </row>
    <row r="311" spans="1:12" x14ac:dyDescent="0.2">
      <c r="A311" s="2" t="s">
        <v>63</v>
      </c>
      <c r="B311" s="2" t="s">
        <v>46</v>
      </c>
      <c r="C311" s="2" t="s">
        <v>70</v>
      </c>
      <c r="D311" s="2" t="s">
        <v>72</v>
      </c>
      <c r="E311" s="2" t="s">
        <v>76</v>
      </c>
      <c r="F311" s="2" t="s">
        <v>77</v>
      </c>
      <c r="G311" s="2">
        <v>2025</v>
      </c>
      <c r="H311" s="3">
        <v>5007</v>
      </c>
      <c r="I311" s="3">
        <v>1193885.1049297347</v>
      </c>
      <c r="J311" s="4">
        <f>Table13[[#This Row],[Unique Visitors]]/Table13[[#This Row],[Sales]]</f>
        <v>238.44320050523962</v>
      </c>
      <c r="K311" s="5">
        <f>Table13[[#This Row],[Sales]]/Table13[[#This Row],[Unique Visitors]]</f>
        <v>4.1938709004118811E-3</v>
      </c>
      <c r="L311"/>
    </row>
    <row r="312" spans="1:12" x14ac:dyDescent="0.2">
      <c r="A312" s="2" t="s">
        <v>65</v>
      </c>
      <c r="B312" s="2" t="s">
        <v>26</v>
      </c>
      <c r="C312" s="2" t="s">
        <v>69</v>
      </c>
      <c r="D312" s="2" t="s">
        <v>73</v>
      </c>
      <c r="E312" s="2" t="s">
        <v>75</v>
      </c>
      <c r="F312" s="2" t="s">
        <v>77</v>
      </c>
      <c r="G312" s="2">
        <v>2025</v>
      </c>
      <c r="H312" s="3">
        <v>4911</v>
      </c>
      <c r="I312" s="3">
        <v>5811478.3152882038</v>
      </c>
      <c r="J312" s="4">
        <f>Table13[[#This Row],[Unique Visitors]]/Table13[[#This Row],[Sales]]</f>
        <v>1183.3594614718395</v>
      </c>
      <c r="K312" s="5">
        <f>Table13[[#This Row],[Sales]]/Table13[[#This Row],[Unique Visitors]]</f>
        <v>8.4505176369335778E-4</v>
      </c>
      <c r="L312"/>
    </row>
    <row r="313" spans="1:12" x14ac:dyDescent="0.2">
      <c r="A313" s="2" t="s">
        <v>63</v>
      </c>
      <c r="B313" s="2" t="s">
        <v>51</v>
      </c>
      <c r="C313" s="2" t="s">
        <v>63</v>
      </c>
      <c r="D313" s="2" t="s">
        <v>73</v>
      </c>
      <c r="E313" s="2" t="s">
        <v>75</v>
      </c>
      <c r="F313" s="2" t="s">
        <v>77</v>
      </c>
      <c r="G313" s="2">
        <v>2025</v>
      </c>
      <c r="H313" s="3">
        <v>4726</v>
      </c>
      <c r="I313" s="3">
        <v>1340000</v>
      </c>
      <c r="J313" s="4">
        <f>Table13[[#This Row],[Unique Visitors]]/Table13[[#This Row],[Sales]]</f>
        <v>283.53787558188742</v>
      </c>
      <c r="K313" s="5">
        <f>Table13[[#This Row],[Sales]]/Table13[[#This Row],[Unique Visitors]]</f>
        <v>3.5268656716417909E-3</v>
      </c>
      <c r="L313"/>
    </row>
    <row r="314" spans="1:12" x14ac:dyDescent="0.2">
      <c r="A314" s="2" t="s">
        <v>63</v>
      </c>
      <c r="B314" s="2" t="s">
        <v>36</v>
      </c>
      <c r="C314" s="2" t="s">
        <v>69</v>
      </c>
      <c r="D314" s="2" t="s">
        <v>72</v>
      </c>
      <c r="E314" s="2" t="s">
        <v>75</v>
      </c>
      <c r="F314" s="2" t="s">
        <v>77</v>
      </c>
      <c r="G314" s="2">
        <v>2025</v>
      </c>
      <c r="H314" s="3">
        <v>4661</v>
      </c>
      <c r="I314" s="3">
        <v>1223623.9550793772</v>
      </c>
      <c r="J314" s="4">
        <f>Table13[[#This Row],[Unique Visitors]]/Table13[[#This Row],[Sales]]</f>
        <v>262.52391226762006</v>
      </c>
      <c r="K314" s="5">
        <f>Table13[[#This Row],[Sales]]/Table13[[#This Row],[Unique Visitors]]</f>
        <v>3.8091768150269978E-3</v>
      </c>
      <c r="L314"/>
    </row>
    <row r="315" spans="1:12" x14ac:dyDescent="0.2">
      <c r="A315" s="2" t="s">
        <v>60</v>
      </c>
      <c r="B315" s="2" t="s">
        <v>20</v>
      </c>
      <c r="C315" s="2" t="s">
        <v>61</v>
      </c>
      <c r="D315" s="2" t="s">
        <v>73</v>
      </c>
      <c r="E315" s="2" t="s">
        <v>75</v>
      </c>
      <c r="F315" s="2" t="s">
        <v>77</v>
      </c>
      <c r="G315" s="2">
        <v>2025</v>
      </c>
      <c r="H315" s="3">
        <v>4645</v>
      </c>
      <c r="I315" s="3">
        <v>791497.78014080878</v>
      </c>
      <c r="J315" s="4">
        <f>Table13[[#This Row],[Unique Visitors]]/Table13[[#This Row],[Sales]]</f>
        <v>170.3977998150288</v>
      </c>
      <c r="K315" s="5">
        <f>Table13[[#This Row],[Sales]]/Table13[[#This Row],[Unique Visitors]]</f>
        <v>5.868620375882351E-3</v>
      </c>
      <c r="L315"/>
    </row>
    <row r="316" spans="1:12" x14ac:dyDescent="0.2">
      <c r="A316" s="2" t="s">
        <v>61</v>
      </c>
      <c r="B316" s="2" t="s">
        <v>26</v>
      </c>
      <c r="C316" s="2" t="s">
        <v>69</v>
      </c>
      <c r="D316" s="2" t="s">
        <v>73</v>
      </c>
      <c r="E316" s="2" t="s">
        <v>75</v>
      </c>
      <c r="F316" s="2" t="s">
        <v>77</v>
      </c>
      <c r="G316" s="2">
        <v>2024</v>
      </c>
      <c r="H316" s="3">
        <v>4600</v>
      </c>
      <c r="I316" s="3">
        <v>4687728.4323873799</v>
      </c>
      <c r="J316" s="4">
        <f>Table13[[#This Row],[Unique Visitors]]/Table13[[#This Row],[Sales]]</f>
        <v>1019.0713983450826</v>
      </c>
      <c r="K316" s="5">
        <f>Table13[[#This Row],[Sales]]/Table13[[#This Row],[Unique Visitors]]</f>
        <v>9.8128551308960935E-4</v>
      </c>
      <c r="L316"/>
    </row>
    <row r="317" spans="1:12" x14ac:dyDescent="0.2">
      <c r="A317" s="2" t="s">
        <v>63</v>
      </c>
      <c r="B317" s="2" t="s">
        <v>52</v>
      </c>
      <c r="C317" s="2" t="s">
        <v>69</v>
      </c>
      <c r="D317" s="2" t="s">
        <v>73</v>
      </c>
      <c r="E317" s="2" t="s">
        <v>75</v>
      </c>
      <c r="F317" s="2" t="s">
        <v>77</v>
      </c>
      <c r="G317" s="2">
        <v>2024</v>
      </c>
      <c r="H317" s="3">
        <v>4510</v>
      </c>
      <c r="I317" s="3">
        <v>474388.62826549471</v>
      </c>
      <c r="J317" s="4">
        <f>Table13[[#This Row],[Unique Visitors]]/Table13[[#This Row],[Sales]]</f>
        <v>105.18594861762632</v>
      </c>
      <c r="K317" s="5">
        <f>Table13[[#This Row],[Sales]]/Table13[[#This Row],[Unique Visitors]]</f>
        <v>9.506973252056853E-3</v>
      </c>
      <c r="L317"/>
    </row>
    <row r="318" spans="1:12" x14ac:dyDescent="0.2">
      <c r="A318" s="2" t="s">
        <v>61</v>
      </c>
      <c r="B318" s="2" t="s">
        <v>12</v>
      </c>
      <c r="C318" s="2" t="s">
        <v>60</v>
      </c>
      <c r="D318" s="2" t="s">
        <v>72</v>
      </c>
      <c r="E318" s="2" t="s">
        <v>75</v>
      </c>
      <c r="F318" s="2" t="s">
        <v>77</v>
      </c>
      <c r="G318" s="2">
        <v>2024</v>
      </c>
      <c r="H318" s="3">
        <v>4373</v>
      </c>
      <c r="I318" s="3">
        <v>906470.47436718713</v>
      </c>
      <c r="J318" s="4">
        <f>Table13[[#This Row],[Unique Visitors]]/Table13[[#This Row],[Sales]]</f>
        <v>207.28801151776517</v>
      </c>
      <c r="K318" s="5">
        <f>Table13[[#This Row],[Sales]]/Table13[[#This Row],[Unique Visitors]]</f>
        <v>4.8242056676504764E-3</v>
      </c>
      <c r="L318"/>
    </row>
    <row r="319" spans="1:12" x14ac:dyDescent="0.2">
      <c r="A319" s="2" t="s">
        <v>63</v>
      </c>
      <c r="B319" s="2" t="s">
        <v>52</v>
      </c>
      <c r="C319" s="2" t="s">
        <v>69</v>
      </c>
      <c r="D319" s="2" t="s">
        <v>73</v>
      </c>
      <c r="E319" s="2" t="s">
        <v>75</v>
      </c>
      <c r="F319" s="2" t="s">
        <v>77</v>
      </c>
      <c r="G319" s="2">
        <v>2025</v>
      </c>
      <c r="H319" s="3">
        <v>3978</v>
      </c>
      <c r="I319" s="3">
        <v>437052.63617155072</v>
      </c>
      <c r="J319" s="4">
        <f>Table13[[#This Row],[Unique Visitors]]/Table13[[#This Row],[Sales]]</f>
        <v>109.86742990737827</v>
      </c>
      <c r="K319" s="5">
        <f>Table13[[#This Row],[Sales]]/Table13[[#This Row],[Unique Visitors]]</f>
        <v>9.1018785170730934E-3</v>
      </c>
      <c r="L319"/>
    </row>
    <row r="320" spans="1:12" x14ac:dyDescent="0.2">
      <c r="A320" s="2" t="s">
        <v>65</v>
      </c>
      <c r="B320" s="2" t="s">
        <v>20</v>
      </c>
      <c r="C320" s="2" t="s">
        <v>61</v>
      </c>
      <c r="D320" s="2" t="s">
        <v>73</v>
      </c>
      <c r="E320" s="2" t="s">
        <v>75</v>
      </c>
      <c r="F320" s="2" t="s">
        <v>77</v>
      </c>
      <c r="G320" s="2">
        <v>2024</v>
      </c>
      <c r="H320" s="3">
        <v>3955</v>
      </c>
      <c r="I320" s="3">
        <v>845473.21207092772</v>
      </c>
      <c r="J320" s="4">
        <f>Table13[[#This Row],[Unique Visitors]]/Table13[[#This Row],[Sales]]</f>
        <v>213.7732521039008</v>
      </c>
      <c r="K320" s="5">
        <f>Table13[[#This Row],[Sales]]/Table13[[#This Row],[Unique Visitors]]</f>
        <v>4.6778537078809431E-3</v>
      </c>
      <c r="L320"/>
    </row>
    <row r="321" spans="1:12" x14ac:dyDescent="0.2">
      <c r="A321" s="2" t="s">
        <v>65</v>
      </c>
      <c r="B321" s="2" t="s">
        <v>31</v>
      </c>
      <c r="C321" s="2" t="s">
        <v>68</v>
      </c>
      <c r="D321" s="2" t="s">
        <v>73</v>
      </c>
      <c r="E321" s="2" t="s">
        <v>75</v>
      </c>
      <c r="F321" s="2" t="s">
        <v>77</v>
      </c>
      <c r="G321" s="2">
        <v>2025</v>
      </c>
      <c r="H321" s="3">
        <v>3888</v>
      </c>
      <c r="I321" s="2">
        <v>582691</v>
      </c>
      <c r="J321" s="4">
        <f>Table13[[#This Row],[Unique Visitors]]/Table13[[#This Row],[Sales]]</f>
        <v>149.86908436213992</v>
      </c>
      <c r="K321" s="5">
        <f>Table13[[#This Row],[Sales]]/Table13[[#This Row],[Unique Visitors]]</f>
        <v>6.6724902220902677E-3</v>
      </c>
      <c r="L321"/>
    </row>
    <row r="322" spans="1:12" x14ac:dyDescent="0.2">
      <c r="A322" s="2" t="s">
        <v>65</v>
      </c>
      <c r="B322" s="2" t="s">
        <v>47</v>
      </c>
      <c r="C322" s="2" t="s">
        <v>63</v>
      </c>
      <c r="D322" s="2" t="s">
        <v>74</v>
      </c>
      <c r="E322" s="2" t="s">
        <v>75</v>
      </c>
      <c r="F322" s="2" t="s">
        <v>77</v>
      </c>
      <c r="G322" s="2">
        <v>2024</v>
      </c>
      <c r="H322" s="3">
        <v>3866</v>
      </c>
      <c r="I322" s="3">
        <v>1863743.1361764898</v>
      </c>
      <c r="J322" s="4">
        <f>Table13[[#This Row],[Unique Visitors]]/Table13[[#This Row],[Sales]]</f>
        <v>482.08565343416706</v>
      </c>
      <c r="K322" s="5">
        <f>Table13[[#This Row],[Sales]]/Table13[[#This Row],[Unique Visitors]]</f>
        <v>2.0743201812301153E-3</v>
      </c>
      <c r="L322"/>
    </row>
    <row r="323" spans="1:12" x14ac:dyDescent="0.2">
      <c r="A323" s="2" t="s">
        <v>61</v>
      </c>
      <c r="B323" s="2" t="s">
        <v>47</v>
      </c>
      <c r="C323" s="2" t="s">
        <v>63</v>
      </c>
      <c r="D323" s="2" t="s">
        <v>74</v>
      </c>
      <c r="E323" s="2" t="s">
        <v>75</v>
      </c>
      <c r="F323" s="2" t="s">
        <v>77</v>
      </c>
      <c r="G323" s="2">
        <v>2025</v>
      </c>
      <c r="H323" s="3">
        <v>3849</v>
      </c>
      <c r="I323" s="3">
        <v>2574581.2066110969</v>
      </c>
      <c r="J323" s="4">
        <f>Table13[[#This Row],[Unique Visitors]]/Table13[[#This Row],[Sales]]</f>
        <v>668.89613058225427</v>
      </c>
      <c r="K323" s="5">
        <f>Table13[[#This Row],[Sales]]/Table13[[#This Row],[Unique Visitors]]</f>
        <v>1.4950004257455183E-3</v>
      </c>
      <c r="L323"/>
    </row>
    <row r="324" spans="1:12" x14ac:dyDescent="0.2">
      <c r="A324" s="2" t="s">
        <v>65</v>
      </c>
      <c r="B324" s="2" t="s">
        <v>26</v>
      </c>
      <c r="C324" s="2" t="s">
        <v>69</v>
      </c>
      <c r="D324" s="2" t="s">
        <v>73</v>
      </c>
      <c r="E324" s="2" t="s">
        <v>75</v>
      </c>
      <c r="F324" s="2" t="s">
        <v>77</v>
      </c>
      <c r="G324" s="2">
        <v>2024</v>
      </c>
      <c r="H324" s="3">
        <v>3843</v>
      </c>
      <c r="I324" s="3">
        <v>4941586.0535046514</v>
      </c>
      <c r="J324" s="4">
        <f>Table13[[#This Row],[Unique Visitors]]/Table13[[#This Row],[Sales]]</f>
        <v>1285.8667846746425</v>
      </c>
      <c r="K324" s="5">
        <f>Table13[[#This Row],[Sales]]/Table13[[#This Row],[Unique Visitors]]</f>
        <v>7.7768553626107219E-4</v>
      </c>
      <c r="L324"/>
    </row>
    <row r="325" spans="1:12" x14ac:dyDescent="0.2">
      <c r="A325" s="2" t="s">
        <v>11</v>
      </c>
      <c r="B325" s="2" t="s">
        <v>44</v>
      </c>
      <c r="C325" s="2" t="s">
        <v>64</v>
      </c>
      <c r="D325" s="2" t="s">
        <v>73</v>
      </c>
      <c r="E325" s="2" t="s">
        <v>75</v>
      </c>
      <c r="F325" s="2" t="s">
        <v>78</v>
      </c>
      <c r="G325" s="2">
        <v>2024</v>
      </c>
      <c r="H325" s="3">
        <v>3629</v>
      </c>
      <c r="I325" s="3">
        <v>185357</v>
      </c>
      <c r="J325" s="4">
        <f>Table13[[#This Row],[Unique Visitors]]/Table13[[#This Row],[Sales]]</f>
        <v>51.07660512537889</v>
      </c>
      <c r="K325" s="5">
        <f>Table13[[#This Row],[Sales]]/Table13[[#This Row],[Unique Visitors]]</f>
        <v>1.9578435127888344E-2</v>
      </c>
      <c r="L325"/>
    </row>
    <row r="326" spans="1:12" x14ac:dyDescent="0.2">
      <c r="A326" s="2" t="s">
        <v>63</v>
      </c>
      <c r="B326" s="2" t="s">
        <v>20</v>
      </c>
      <c r="C326" s="2" t="s">
        <v>61</v>
      </c>
      <c r="D326" s="2" t="s">
        <v>73</v>
      </c>
      <c r="E326" s="2" t="s">
        <v>75</v>
      </c>
      <c r="F326" s="2" t="s">
        <v>77</v>
      </c>
      <c r="G326" s="2">
        <v>2024</v>
      </c>
      <c r="H326" s="3">
        <v>3587</v>
      </c>
      <c r="I326" s="3">
        <v>592871.81387370208</v>
      </c>
      <c r="J326" s="4">
        <f>Table13[[#This Row],[Unique Visitors]]/Table13[[#This Row],[Sales]]</f>
        <v>165.28347194694788</v>
      </c>
      <c r="K326" s="5">
        <f>Table13[[#This Row],[Sales]]/Table13[[#This Row],[Unique Visitors]]</f>
        <v>6.0502117254711135E-3</v>
      </c>
      <c r="L326"/>
    </row>
    <row r="327" spans="1:12" x14ac:dyDescent="0.2">
      <c r="A327" s="2" t="s">
        <v>65</v>
      </c>
      <c r="B327" s="2" t="s">
        <v>47</v>
      </c>
      <c r="C327" s="2" t="s">
        <v>63</v>
      </c>
      <c r="D327" s="2" t="s">
        <v>74</v>
      </c>
      <c r="E327" s="2" t="s">
        <v>75</v>
      </c>
      <c r="F327" s="2" t="s">
        <v>77</v>
      </c>
      <c r="G327" s="2">
        <v>2025</v>
      </c>
      <c r="H327" s="3">
        <v>3321</v>
      </c>
      <c r="I327" s="3">
        <v>1914768.3011221073</v>
      </c>
      <c r="J327" s="4">
        <f>Table13[[#This Row],[Unique Visitors]]/Table13[[#This Row],[Sales]]</f>
        <v>576.56377630897543</v>
      </c>
      <c r="K327" s="5">
        <f>Table13[[#This Row],[Sales]]/Table13[[#This Row],[Unique Visitors]]</f>
        <v>1.7344135047847836E-3</v>
      </c>
      <c r="L327"/>
    </row>
    <row r="328" spans="1:12" x14ac:dyDescent="0.2">
      <c r="A328" s="2" t="s">
        <v>65</v>
      </c>
      <c r="B328" s="2" t="s">
        <v>12</v>
      </c>
      <c r="C328" s="2" t="s">
        <v>60</v>
      </c>
      <c r="D328" s="2" t="s">
        <v>72</v>
      </c>
      <c r="E328" s="2" t="s">
        <v>75</v>
      </c>
      <c r="F328" s="2" t="s">
        <v>77</v>
      </c>
      <c r="G328" s="2">
        <v>2025</v>
      </c>
      <c r="H328" s="3">
        <v>3284</v>
      </c>
      <c r="I328" s="3">
        <v>615775.74761961517</v>
      </c>
      <c r="J328" s="4">
        <f>Table13[[#This Row],[Unique Visitors]]/Table13[[#This Row],[Sales]]</f>
        <v>187.50784032265992</v>
      </c>
      <c r="K328" s="5">
        <f>Table13[[#This Row],[Sales]]/Table13[[#This Row],[Unique Visitors]]</f>
        <v>5.3331103290359437E-3</v>
      </c>
      <c r="L328"/>
    </row>
    <row r="329" spans="1:12" x14ac:dyDescent="0.2">
      <c r="A329" s="2" t="s">
        <v>63</v>
      </c>
      <c r="B329" s="2" t="s">
        <v>46</v>
      </c>
      <c r="C329" s="2" t="s">
        <v>70</v>
      </c>
      <c r="D329" s="2" t="s">
        <v>72</v>
      </c>
      <c r="E329" s="2" t="s">
        <v>76</v>
      </c>
      <c r="F329" s="2" t="s">
        <v>77</v>
      </c>
      <c r="G329" s="2">
        <v>2024</v>
      </c>
      <c r="H329" s="3">
        <v>3181</v>
      </c>
      <c r="I329" s="3">
        <v>1235365.7108855483</v>
      </c>
      <c r="J329" s="4">
        <f>Table13[[#This Row],[Unique Visitors]]/Table13[[#This Row],[Sales]]</f>
        <v>388.35765824757885</v>
      </c>
      <c r="K329" s="5">
        <f>Table13[[#This Row],[Sales]]/Table13[[#This Row],[Unique Visitors]]</f>
        <v>2.5749460034144552E-3</v>
      </c>
      <c r="L329"/>
    </row>
    <row r="330" spans="1:12" x14ac:dyDescent="0.2">
      <c r="A330" s="2" t="s">
        <v>65</v>
      </c>
      <c r="B330" s="2" t="s">
        <v>34</v>
      </c>
      <c r="C330" s="2" t="s">
        <v>62</v>
      </c>
      <c r="D330" s="2" t="s">
        <v>72</v>
      </c>
      <c r="E330" s="2" t="s">
        <v>75</v>
      </c>
      <c r="F330" s="2" t="s">
        <v>77</v>
      </c>
      <c r="G330" s="2">
        <v>2025</v>
      </c>
      <c r="H330" s="3">
        <v>3063</v>
      </c>
      <c r="I330" s="3">
        <v>895445.4048842605</v>
      </c>
      <c r="J330" s="4">
        <f>Table13[[#This Row],[Unique Visitors]]/Table13[[#This Row],[Sales]]</f>
        <v>292.34260688353265</v>
      </c>
      <c r="K330" s="5">
        <f>Table13[[#This Row],[Sales]]/Table13[[#This Row],[Unique Visitors]]</f>
        <v>3.4206440541128284E-3</v>
      </c>
      <c r="L330"/>
    </row>
    <row r="331" spans="1:12" x14ac:dyDescent="0.2">
      <c r="A331" s="2" t="s">
        <v>65</v>
      </c>
      <c r="B331" s="2" t="s">
        <v>34</v>
      </c>
      <c r="C331" s="2" t="s">
        <v>62</v>
      </c>
      <c r="D331" s="2" t="s">
        <v>72</v>
      </c>
      <c r="E331" s="2" t="s">
        <v>75</v>
      </c>
      <c r="F331" s="2" t="s">
        <v>77</v>
      </c>
      <c r="G331" s="2">
        <v>2024</v>
      </c>
      <c r="H331" s="3">
        <v>3045</v>
      </c>
      <c r="I331" s="3">
        <v>2541086.7192363818</v>
      </c>
      <c r="J331" s="4">
        <f>Table13[[#This Row],[Unique Visitors]]/Table13[[#This Row],[Sales]]</f>
        <v>834.51123784446031</v>
      </c>
      <c r="K331" s="5">
        <f>Table13[[#This Row],[Sales]]/Table13[[#This Row],[Unique Visitors]]</f>
        <v>1.1983062116491044E-3</v>
      </c>
      <c r="L331"/>
    </row>
    <row r="332" spans="1:12" x14ac:dyDescent="0.2">
      <c r="A332" s="2" t="s">
        <v>63</v>
      </c>
      <c r="B332" s="2" t="s">
        <v>59</v>
      </c>
      <c r="C332" s="2" t="s">
        <v>64</v>
      </c>
      <c r="D332" s="2" t="s">
        <v>72</v>
      </c>
      <c r="E332" s="2" t="s">
        <v>75</v>
      </c>
      <c r="F332" s="2" t="s">
        <v>78</v>
      </c>
      <c r="G332" s="2">
        <v>2025</v>
      </c>
      <c r="H332" s="3">
        <v>2991</v>
      </c>
      <c r="I332" s="2">
        <v>2446000</v>
      </c>
      <c r="J332" s="4">
        <f>Table13[[#This Row],[Unique Visitors]]/Table13[[#This Row],[Sales]]</f>
        <v>817.78669341357408</v>
      </c>
      <c r="K332" s="5">
        <f>Table13[[#This Row],[Sales]]/Table13[[#This Row],[Unique Visitors]]</f>
        <v>1.2228127555192151E-3</v>
      </c>
      <c r="L332"/>
    </row>
    <row r="333" spans="1:12" x14ac:dyDescent="0.2">
      <c r="A333" s="2" t="s">
        <v>11</v>
      </c>
      <c r="B333" s="2" t="s">
        <v>35</v>
      </c>
      <c r="C333" s="2" t="s">
        <v>64</v>
      </c>
      <c r="D333" s="2" t="s">
        <v>73</v>
      </c>
      <c r="E333" s="2" t="s">
        <v>75</v>
      </c>
      <c r="F333" s="2" t="s">
        <v>78</v>
      </c>
      <c r="G333" s="2">
        <v>2025</v>
      </c>
      <c r="H333" s="3">
        <v>2984</v>
      </c>
      <c r="I333" s="3">
        <v>1014000</v>
      </c>
      <c r="J333" s="4">
        <f>Table13[[#This Row],[Unique Visitors]]/Table13[[#This Row],[Sales]]</f>
        <v>339.8123324396783</v>
      </c>
      <c r="K333" s="5">
        <f>Table13[[#This Row],[Sales]]/Table13[[#This Row],[Unique Visitors]]</f>
        <v>2.9428007889546353E-3</v>
      </c>
      <c r="L333"/>
    </row>
    <row r="334" spans="1:12" x14ac:dyDescent="0.2">
      <c r="A334" s="2" t="s">
        <v>63</v>
      </c>
      <c r="B334" s="2" t="s">
        <v>31</v>
      </c>
      <c r="C334" s="2" t="s">
        <v>68</v>
      </c>
      <c r="D334" s="2" t="s">
        <v>73</v>
      </c>
      <c r="E334" s="2" t="s">
        <v>75</v>
      </c>
      <c r="F334" s="2" t="s">
        <v>77</v>
      </c>
      <c r="G334" s="2">
        <v>2025</v>
      </c>
      <c r="H334" s="3">
        <v>2981</v>
      </c>
      <c r="I334" s="3">
        <v>204187.66428102521</v>
      </c>
      <c r="J334" s="4">
        <f>Table13[[#This Row],[Unique Visitors]]/Table13[[#This Row],[Sales]]</f>
        <v>68.49636507246737</v>
      </c>
      <c r="K334" s="5">
        <f>Table13[[#This Row],[Sales]]/Table13[[#This Row],[Unique Visitors]]</f>
        <v>1.4599314853306832E-2</v>
      </c>
      <c r="L334"/>
    </row>
    <row r="335" spans="1:12" x14ac:dyDescent="0.2">
      <c r="A335" s="2" t="s">
        <v>65</v>
      </c>
      <c r="B335" s="2" t="s">
        <v>35</v>
      </c>
      <c r="C335" s="2" t="s">
        <v>64</v>
      </c>
      <c r="D335" s="2" t="s">
        <v>73</v>
      </c>
      <c r="E335" s="2" t="s">
        <v>75</v>
      </c>
      <c r="F335" s="2" t="s">
        <v>78</v>
      </c>
      <c r="G335" s="2">
        <v>2025</v>
      </c>
      <c r="H335" s="3">
        <v>2975</v>
      </c>
      <c r="I335" s="3">
        <v>2413037.763062425</v>
      </c>
      <c r="J335" s="4">
        <f>Table13[[#This Row],[Unique Visitors]]/Table13[[#This Row],[Sales]]</f>
        <v>811.10513044115123</v>
      </c>
      <c r="K335" s="5">
        <f>Table13[[#This Row],[Sales]]/Table13[[#This Row],[Unique Visitors]]</f>
        <v>1.232885802924352E-3</v>
      </c>
      <c r="L335"/>
    </row>
    <row r="336" spans="1:12" x14ac:dyDescent="0.2">
      <c r="A336" s="2" t="s">
        <v>63</v>
      </c>
      <c r="B336" s="2" t="s">
        <v>16</v>
      </c>
      <c r="C336" s="2" t="s">
        <v>64</v>
      </c>
      <c r="D336" s="2" t="s">
        <v>72</v>
      </c>
      <c r="E336" s="2" t="s">
        <v>75</v>
      </c>
      <c r="F336" s="2" t="s">
        <v>78</v>
      </c>
      <c r="G336" s="2">
        <v>2024</v>
      </c>
      <c r="H336" s="3">
        <v>2891</v>
      </c>
      <c r="I336" s="3">
        <v>1270508.7407239431</v>
      </c>
      <c r="J336" s="4">
        <f>Table13[[#This Row],[Unique Visitors]]/Table13[[#This Row],[Sales]]</f>
        <v>439.47033577445285</v>
      </c>
      <c r="K336" s="5">
        <f>Table13[[#This Row],[Sales]]/Table13[[#This Row],[Unique Visitors]]</f>
        <v>2.2754664390208694E-3</v>
      </c>
      <c r="L336"/>
    </row>
    <row r="337" spans="1:12" x14ac:dyDescent="0.2">
      <c r="A337" s="2" t="s">
        <v>65</v>
      </c>
      <c r="B337" s="2" t="s">
        <v>12</v>
      </c>
      <c r="C337" s="2" t="s">
        <v>60</v>
      </c>
      <c r="D337" s="2" t="s">
        <v>72</v>
      </c>
      <c r="E337" s="2" t="s">
        <v>75</v>
      </c>
      <c r="F337" s="2" t="s">
        <v>77</v>
      </c>
      <c r="G337" s="2">
        <v>2024</v>
      </c>
      <c r="H337" s="3">
        <v>2853</v>
      </c>
      <c r="I337" s="3">
        <v>702165.72467465489</v>
      </c>
      <c r="J337" s="4">
        <f>Table13[[#This Row],[Unique Visitors]]/Table13[[#This Row],[Sales]]</f>
        <v>246.11487019791619</v>
      </c>
      <c r="K337" s="5">
        <f>Table13[[#This Row],[Sales]]/Table13[[#This Row],[Unique Visitors]]</f>
        <v>4.0631433573917663E-3</v>
      </c>
      <c r="L337"/>
    </row>
    <row r="338" spans="1:12" x14ac:dyDescent="0.2">
      <c r="A338" s="2" t="s">
        <v>61</v>
      </c>
      <c r="B338" s="2" t="s">
        <v>13</v>
      </c>
      <c r="C338" s="2" t="s">
        <v>61</v>
      </c>
      <c r="D338" s="2" t="s">
        <v>73</v>
      </c>
      <c r="E338" s="2" t="s">
        <v>75</v>
      </c>
      <c r="F338" s="2" t="s">
        <v>77</v>
      </c>
      <c r="G338" s="2">
        <v>2024</v>
      </c>
      <c r="H338" s="3">
        <v>2840</v>
      </c>
      <c r="I338" s="3">
        <v>683724.45241754514</v>
      </c>
      <c r="J338" s="4">
        <f>Table13[[#This Row],[Unique Visitors]]/Table13[[#This Row],[Sales]]</f>
        <v>240.74804662589617</v>
      </c>
      <c r="K338" s="5">
        <f>Table13[[#This Row],[Sales]]/Table13[[#This Row],[Unique Visitors]]</f>
        <v>4.1537200987301157E-3</v>
      </c>
      <c r="L338"/>
    </row>
    <row r="339" spans="1:12" x14ac:dyDescent="0.2">
      <c r="A339" s="2" t="s">
        <v>60</v>
      </c>
      <c r="B339" s="2" t="s">
        <v>51</v>
      </c>
      <c r="C339" s="2" t="s">
        <v>63</v>
      </c>
      <c r="D339" s="2" t="s">
        <v>73</v>
      </c>
      <c r="E339" s="2" t="s">
        <v>75</v>
      </c>
      <c r="F339" s="2" t="s">
        <v>77</v>
      </c>
      <c r="G339" s="2">
        <v>2024</v>
      </c>
      <c r="H339" s="3">
        <v>2824</v>
      </c>
      <c r="I339" s="3">
        <v>278565</v>
      </c>
      <c r="J339" s="4">
        <f>Table13[[#This Row],[Unique Visitors]]/Table13[[#This Row],[Sales]]</f>
        <v>98.641997167138811</v>
      </c>
      <c r="K339" s="5">
        <f>Table13[[#This Row],[Sales]]/Table13[[#This Row],[Unique Visitors]]</f>
        <v>1.013766984366306E-2</v>
      </c>
      <c r="L339"/>
    </row>
    <row r="340" spans="1:12" x14ac:dyDescent="0.2">
      <c r="A340" s="2" t="s">
        <v>60</v>
      </c>
      <c r="B340" s="2" t="s">
        <v>16</v>
      </c>
      <c r="C340" s="2" t="s">
        <v>64</v>
      </c>
      <c r="D340" s="2" t="s">
        <v>72</v>
      </c>
      <c r="E340" s="2" t="s">
        <v>75</v>
      </c>
      <c r="F340" s="2" t="s">
        <v>78</v>
      </c>
      <c r="G340" s="2">
        <v>2024</v>
      </c>
      <c r="H340" s="3">
        <v>2786</v>
      </c>
      <c r="I340" s="3">
        <v>1037936.4794548042</v>
      </c>
      <c r="J340" s="4">
        <f>Table13[[#This Row],[Unique Visitors]]/Table13[[#This Row],[Sales]]</f>
        <v>372.55437166360525</v>
      </c>
      <c r="K340" s="5">
        <f>Table13[[#This Row],[Sales]]/Table13[[#This Row],[Unique Visitors]]</f>
        <v>2.6841719653821197E-3</v>
      </c>
      <c r="L340"/>
    </row>
    <row r="341" spans="1:12" x14ac:dyDescent="0.2">
      <c r="A341" s="2" t="s">
        <v>63</v>
      </c>
      <c r="B341" s="2" t="s">
        <v>20</v>
      </c>
      <c r="C341" s="2" t="s">
        <v>61</v>
      </c>
      <c r="D341" s="2" t="s">
        <v>73</v>
      </c>
      <c r="E341" s="2" t="s">
        <v>75</v>
      </c>
      <c r="F341" s="2" t="s">
        <v>77</v>
      </c>
      <c r="G341" s="2">
        <v>2025</v>
      </c>
      <c r="H341" s="3">
        <v>2781</v>
      </c>
      <c r="I341" s="3">
        <v>550980.81945494667</v>
      </c>
      <c r="J341" s="4">
        <f>Table13[[#This Row],[Unique Visitors]]/Table13[[#This Row],[Sales]]</f>
        <v>198.12327200825123</v>
      </c>
      <c r="K341" s="5">
        <f>Table13[[#This Row],[Sales]]/Table13[[#This Row],[Unique Visitors]]</f>
        <v>5.0473626336958186E-3</v>
      </c>
      <c r="L341"/>
    </row>
    <row r="342" spans="1:12" x14ac:dyDescent="0.2">
      <c r="A342" s="2" t="s">
        <v>11</v>
      </c>
      <c r="B342" s="2" t="s">
        <v>12</v>
      </c>
      <c r="C342" s="2" t="s">
        <v>60</v>
      </c>
      <c r="D342" s="2" t="s">
        <v>72</v>
      </c>
      <c r="E342" s="2" t="s">
        <v>75</v>
      </c>
      <c r="F342" s="2" t="s">
        <v>77</v>
      </c>
      <c r="G342" s="2">
        <v>2025</v>
      </c>
      <c r="H342" s="3">
        <v>2705</v>
      </c>
      <c r="I342" s="3">
        <v>721607.10669787403</v>
      </c>
      <c r="J342" s="4">
        <f>Table13[[#This Row],[Unique Visitors]]/Table13[[#This Row],[Sales]]</f>
        <v>266.76787678294789</v>
      </c>
      <c r="K342" s="5">
        <f>Table13[[#This Row],[Sales]]/Table13[[#This Row],[Unique Visitors]]</f>
        <v>3.7485772727187711E-3</v>
      </c>
      <c r="L342"/>
    </row>
    <row r="343" spans="1:12" x14ac:dyDescent="0.2">
      <c r="A343" s="2" t="s">
        <v>60</v>
      </c>
      <c r="B343" s="2" t="s">
        <v>52</v>
      </c>
      <c r="C343" s="2" t="s">
        <v>69</v>
      </c>
      <c r="D343" s="2" t="s">
        <v>73</v>
      </c>
      <c r="E343" s="2" t="s">
        <v>75</v>
      </c>
      <c r="F343" s="2" t="s">
        <v>77</v>
      </c>
      <c r="G343" s="2">
        <v>2025</v>
      </c>
      <c r="H343" s="3">
        <v>2519</v>
      </c>
      <c r="I343" s="3">
        <v>544820.91575194674</v>
      </c>
      <c r="J343" s="4">
        <f>Table13[[#This Row],[Unique Visitors]]/Table13[[#This Row],[Sales]]</f>
        <v>216.28460331558028</v>
      </c>
      <c r="K343" s="5">
        <f>Table13[[#This Row],[Sales]]/Table13[[#This Row],[Unique Visitors]]</f>
        <v>4.623537619739407E-3</v>
      </c>
      <c r="L343"/>
    </row>
    <row r="344" spans="1:12" x14ac:dyDescent="0.2">
      <c r="A344" s="2" t="s">
        <v>11</v>
      </c>
      <c r="B344" s="2" t="s">
        <v>52</v>
      </c>
      <c r="C344" s="2" t="s">
        <v>69</v>
      </c>
      <c r="D344" s="2" t="s">
        <v>73</v>
      </c>
      <c r="E344" s="2" t="s">
        <v>75</v>
      </c>
      <c r="F344" s="2" t="s">
        <v>77</v>
      </c>
      <c r="G344" s="2">
        <v>2024</v>
      </c>
      <c r="H344" s="3">
        <v>2419</v>
      </c>
      <c r="I344" s="3">
        <v>380923.62603349879</v>
      </c>
      <c r="J344" s="4">
        <f>Table13[[#This Row],[Unique Visitors]]/Table13[[#This Row],[Sales]]</f>
        <v>157.47152791794079</v>
      </c>
      <c r="K344" s="5">
        <f>Table13[[#This Row],[Sales]]/Table13[[#This Row],[Unique Visitors]]</f>
        <v>6.3503543352999344E-3</v>
      </c>
      <c r="L344"/>
    </row>
    <row r="345" spans="1:12" x14ac:dyDescent="0.2">
      <c r="A345" s="2" t="s">
        <v>63</v>
      </c>
      <c r="B345" s="2" t="s">
        <v>79</v>
      </c>
      <c r="C345" s="2" t="s">
        <v>64</v>
      </c>
      <c r="D345" s="2" t="s">
        <v>72</v>
      </c>
      <c r="E345" s="2" t="s">
        <v>75</v>
      </c>
      <c r="F345" s="2" t="s">
        <v>78</v>
      </c>
      <c r="G345" s="2">
        <v>2025</v>
      </c>
      <c r="H345" s="3">
        <v>2386</v>
      </c>
      <c r="I345" s="2">
        <v>71987</v>
      </c>
      <c r="J345" s="4">
        <f>Table13[[#This Row],[Unique Visitors]]/Table13[[#This Row],[Sales]]</f>
        <v>30.170578373847444</v>
      </c>
      <c r="K345" s="5">
        <f>Table13[[#This Row],[Sales]]/Table13[[#This Row],[Unique Visitors]]</f>
        <v>3.3144873379915819E-2</v>
      </c>
      <c r="L345"/>
    </row>
    <row r="346" spans="1:12" x14ac:dyDescent="0.2">
      <c r="A346" s="2" t="s">
        <v>60</v>
      </c>
      <c r="B346" s="2" t="s">
        <v>38</v>
      </c>
      <c r="C346" s="2" t="s">
        <v>60</v>
      </c>
      <c r="D346" s="2" t="s">
        <v>72</v>
      </c>
      <c r="E346" s="2" t="s">
        <v>75</v>
      </c>
      <c r="F346" s="2" t="s">
        <v>77</v>
      </c>
      <c r="G346" s="2">
        <v>2024</v>
      </c>
      <c r="H346" s="3">
        <v>2241</v>
      </c>
      <c r="I346" s="3">
        <v>736145.32564563164</v>
      </c>
      <c r="J346" s="4">
        <f>Table13[[#This Row],[Unique Visitors]]/Table13[[#This Row],[Sales]]</f>
        <v>328.48965892263794</v>
      </c>
      <c r="K346" s="5">
        <f>Table13[[#This Row],[Sales]]/Table13[[#This Row],[Unique Visitors]]</f>
        <v>3.044235862035183E-3</v>
      </c>
      <c r="L346"/>
    </row>
    <row r="347" spans="1:12" x14ac:dyDescent="0.2">
      <c r="A347" s="2" t="s">
        <v>61</v>
      </c>
      <c r="B347" s="2" t="s">
        <v>51</v>
      </c>
      <c r="C347" s="2" t="s">
        <v>63</v>
      </c>
      <c r="D347" s="2" t="s">
        <v>73</v>
      </c>
      <c r="E347" s="2" t="s">
        <v>75</v>
      </c>
      <c r="F347" s="2" t="s">
        <v>77</v>
      </c>
      <c r="G347" s="2">
        <v>2024</v>
      </c>
      <c r="H347" s="3">
        <v>2216</v>
      </c>
      <c r="I347" s="3">
        <v>297172</v>
      </c>
      <c r="J347" s="4">
        <f>Table13[[#This Row],[Unique Visitors]]/Table13[[#This Row],[Sales]]</f>
        <v>134.10288808664259</v>
      </c>
      <c r="K347" s="5">
        <f>Table13[[#This Row],[Sales]]/Table13[[#This Row],[Unique Visitors]]</f>
        <v>7.4569609519066398E-3</v>
      </c>
      <c r="L347"/>
    </row>
    <row r="348" spans="1:12" x14ac:dyDescent="0.2">
      <c r="A348" s="2" t="s">
        <v>63</v>
      </c>
      <c r="B348" s="2" t="s">
        <v>31</v>
      </c>
      <c r="C348" s="2" t="s">
        <v>68</v>
      </c>
      <c r="D348" s="2" t="s">
        <v>73</v>
      </c>
      <c r="E348" s="2" t="s">
        <v>75</v>
      </c>
      <c r="F348" s="2" t="s">
        <v>77</v>
      </c>
      <c r="G348" s="2">
        <v>2024</v>
      </c>
      <c r="H348" s="3">
        <v>2186</v>
      </c>
      <c r="I348" s="3">
        <v>200000</v>
      </c>
      <c r="J348" s="4">
        <f>Table13[[#This Row],[Unique Visitors]]/Table13[[#This Row],[Sales]]</f>
        <v>91.491308325709056</v>
      </c>
      <c r="K348" s="5">
        <f>Table13[[#This Row],[Sales]]/Table13[[#This Row],[Unique Visitors]]</f>
        <v>1.093E-2</v>
      </c>
      <c r="L348"/>
    </row>
    <row r="349" spans="1:12" x14ac:dyDescent="0.2">
      <c r="A349" s="2" t="s">
        <v>63</v>
      </c>
      <c r="B349" s="2" t="s">
        <v>29</v>
      </c>
      <c r="C349" s="2" t="s">
        <v>62</v>
      </c>
      <c r="D349" s="2" t="s">
        <v>72</v>
      </c>
      <c r="E349" s="2" t="s">
        <v>75</v>
      </c>
      <c r="F349" s="2" t="s">
        <v>77</v>
      </c>
      <c r="G349" s="2">
        <v>2024</v>
      </c>
      <c r="H349" s="3">
        <v>2101</v>
      </c>
      <c r="I349" s="3">
        <v>575755.49862048833</v>
      </c>
      <c r="J349" s="4">
        <f>Table13[[#This Row],[Unique Visitors]]/Table13[[#This Row],[Sales]]</f>
        <v>274.03879039528238</v>
      </c>
      <c r="K349" s="5">
        <f>Table13[[#This Row],[Sales]]/Table13[[#This Row],[Unique Visitors]]</f>
        <v>3.6491184279333873E-3</v>
      </c>
      <c r="L349"/>
    </row>
    <row r="350" spans="1:12" x14ac:dyDescent="0.2">
      <c r="A350" s="2" t="s">
        <v>11</v>
      </c>
      <c r="B350" s="2" t="s">
        <v>52</v>
      </c>
      <c r="C350" s="2" t="s">
        <v>69</v>
      </c>
      <c r="D350" s="2" t="s">
        <v>73</v>
      </c>
      <c r="E350" s="2" t="s">
        <v>75</v>
      </c>
      <c r="F350" s="2" t="s">
        <v>77</v>
      </c>
      <c r="G350" s="2">
        <v>2025</v>
      </c>
      <c r="H350" s="3">
        <v>1994</v>
      </c>
      <c r="I350" s="3">
        <v>322704.85982289939</v>
      </c>
      <c r="J350" s="4">
        <f>Table13[[#This Row],[Unique Visitors]]/Table13[[#This Row],[Sales]]</f>
        <v>161.83794374267774</v>
      </c>
      <c r="K350" s="5">
        <f>Table13[[#This Row],[Sales]]/Table13[[#This Row],[Unique Visitors]]</f>
        <v>6.1790206726180337E-3</v>
      </c>
      <c r="L350"/>
    </row>
    <row r="351" spans="1:12" x14ac:dyDescent="0.2">
      <c r="A351" s="2" t="s">
        <v>11</v>
      </c>
      <c r="B351" s="2" t="s">
        <v>51</v>
      </c>
      <c r="C351" s="2" t="s">
        <v>63</v>
      </c>
      <c r="D351" s="2" t="s">
        <v>73</v>
      </c>
      <c r="E351" s="2" t="s">
        <v>75</v>
      </c>
      <c r="F351" s="2" t="s">
        <v>77</v>
      </c>
      <c r="G351" s="2">
        <v>2024</v>
      </c>
      <c r="H351" s="3">
        <v>1981</v>
      </c>
      <c r="I351" s="3">
        <v>188796.35914110421</v>
      </c>
      <c r="J351" s="4">
        <f>Table13[[#This Row],[Unique Visitors]]/Table13[[#This Row],[Sales]]</f>
        <v>95.303563423071282</v>
      </c>
      <c r="K351" s="5">
        <f>Table13[[#This Row],[Sales]]/Table13[[#This Row],[Unique Visitors]]</f>
        <v>1.0492787090875113E-2</v>
      </c>
      <c r="L351"/>
    </row>
    <row r="352" spans="1:12" x14ac:dyDescent="0.2">
      <c r="A352" s="2" t="s">
        <v>65</v>
      </c>
      <c r="B352" s="2" t="s">
        <v>20</v>
      </c>
      <c r="C352" s="2" t="s">
        <v>61</v>
      </c>
      <c r="D352" s="2" t="s">
        <v>73</v>
      </c>
      <c r="E352" s="2" t="s">
        <v>75</v>
      </c>
      <c r="F352" s="2" t="s">
        <v>77</v>
      </c>
      <c r="G352" s="2">
        <v>2025</v>
      </c>
      <c r="H352" s="3">
        <v>1848</v>
      </c>
      <c r="I352" s="3">
        <v>662524.58132685965</v>
      </c>
      <c r="J352" s="4">
        <f>Table13[[#This Row],[Unique Visitors]]/Table13[[#This Row],[Sales]]</f>
        <v>358.50897257946951</v>
      </c>
      <c r="K352" s="5">
        <f>Table13[[#This Row],[Sales]]/Table13[[#This Row],[Unique Visitors]]</f>
        <v>2.7893304672544374E-3</v>
      </c>
      <c r="L352"/>
    </row>
    <row r="353" spans="1:12" x14ac:dyDescent="0.2">
      <c r="A353" s="2" t="s">
        <v>60</v>
      </c>
      <c r="B353" s="2" t="s">
        <v>44</v>
      </c>
      <c r="C353" s="2" t="s">
        <v>64</v>
      </c>
      <c r="D353" s="2" t="s">
        <v>73</v>
      </c>
      <c r="E353" s="2" t="s">
        <v>75</v>
      </c>
      <c r="F353" s="2" t="s">
        <v>78</v>
      </c>
      <c r="G353" s="2">
        <v>2024</v>
      </c>
      <c r="H353" s="3">
        <v>1830</v>
      </c>
      <c r="I353" s="2">
        <v>621780</v>
      </c>
      <c r="J353" s="4">
        <f>Table13[[#This Row],[Unique Visitors]]/Table13[[#This Row],[Sales]]</f>
        <v>339.77049180327867</v>
      </c>
      <c r="K353" s="5">
        <f>Table13[[#This Row],[Sales]]/Table13[[#This Row],[Unique Visitors]]</f>
        <v>2.9431631766862879E-3</v>
      </c>
      <c r="L353"/>
    </row>
    <row r="354" spans="1:12" x14ac:dyDescent="0.2">
      <c r="A354" s="2" t="s">
        <v>63</v>
      </c>
      <c r="B354" s="2" t="s">
        <v>21</v>
      </c>
      <c r="C354" s="2" t="s">
        <v>60</v>
      </c>
      <c r="D354" s="2" t="s">
        <v>74</v>
      </c>
      <c r="E354" s="2" t="s">
        <v>75</v>
      </c>
      <c r="F354" s="2" t="s">
        <v>77</v>
      </c>
      <c r="G354" s="2">
        <v>2024</v>
      </c>
      <c r="H354" s="3">
        <v>1827</v>
      </c>
      <c r="I354" s="3">
        <v>1057222.2868655182</v>
      </c>
      <c r="J354" s="4">
        <f>Table13[[#This Row],[Unique Visitors]]/Table13[[#This Row],[Sales]]</f>
        <v>578.66572899043138</v>
      </c>
      <c r="K354" s="5">
        <f>Table13[[#This Row],[Sales]]/Table13[[#This Row],[Unique Visitors]]</f>
        <v>1.728113399327534E-3</v>
      </c>
      <c r="L354"/>
    </row>
    <row r="355" spans="1:12" x14ac:dyDescent="0.2">
      <c r="A355" s="2" t="s">
        <v>63</v>
      </c>
      <c r="B355" s="2" t="s">
        <v>21</v>
      </c>
      <c r="C355" s="2" t="s">
        <v>60</v>
      </c>
      <c r="D355" s="2" t="s">
        <v>74</v>
      </c>
      <c r="E355" s="2" t="s">
        <v>75</v>
      </c>
      <c r="F355" s="2" t="s">
        <v>77</v>
      </c>
      <c r="G355" s="2">
        <v>2025</v>
      </c>
      <c r="H355" s="3">
        <v>1746</v>
      </c>
      <c r="I355" s="3">
        <v>1190047.2665481789</v>
      </c>
      <c r="J355" s="4">
        <f>Table13[[#This Row],[Unique Visitors]]/Table13[[#This Row],[Sales]]</f>
        <v>681.58491783973591</v>
      </c>
      <c r="K355" s="5">
        <f>Table13[[#This Row],[Sales]]/Table13[[#This Row],[Unique Visitors]]</f>
        <v>1.4671686151293837E-3</v>
      </c>
      <c r="L355"/>
    </row>
    <row r="356" spans="1:12" x14ac:dyDescent="0.2">
      <c r="A356" s="2" t="s">
        <v>11</v>
      </c>
      <c r="B356" s="2" t="s">
        <v>29</v>
      </c>
      <c r="C356" s="2" t="s">
        <v>62</v>
      </c>
      <c r="D356" s="2" t="s">
        <v>72</v>
      </c>
      <c r="E356" s="2" t="s">
        <v>75</v>
      </c>
      <c r="F356" s="2" t="s">
        <v>77</v>
      </c>
      <c r="G356" s="2">
        <v>2025</v>
      </c>
      <c r="H356" s="3">
        <v>1725</v>
      </c>
      <c r="I356" s="3">
        <v>374220.336492459</v>
      </c>
      <c r="J356" s="4">
        <f>Table13[[#This Row],[Unique Visitors]]/Table13[[#This Row],[Sales]]</f>
        <v>216.93932550287479</v>
      </c>
      <c r="K356" s="5">
        <f>Table13[[#This Row],[Sales]]/Table13[[#This Row],[Unique Visitors]]</f>
        <v>4.6095837980594644E-3</v>
      </c>
      <c r="L356"/>
    </row>
    <row r="357" spans="1:12" x14ac:dyDescent="0.2">
      <c r="A357" s="2" t="s">
        <v>60</v>
      </c>
      <c r="B357" s="2" t="s">
        <v>38</v>
      </c>
      <c r="C357" s="2" t="s">
        <v>60</v>
      </c>
      <c r="D357" s="2" t="s">
        <v>72</v>
      </c>
      <c r="E357" s="2" t="s">
        <v>75</v>
      </c>
      <c r="F357" s="2" t="s">
        <v>77</v>
      </c>
      <c r="G357" s="2">
        <v>2025</v>
      </c>
      <c r="H357" s="3">
        <v>1723</v>
      </c>
      <c r="I357" s="3">
        <v>522992.80865102512</v>
      </c>
      <c r="J357" s="4">
        <f>Table13[[#This Row],[Unique Visitors]]/Table13[[#This Row],[Sales]]</f>
        <v>303.53616288509875</v>
      </c>
      <c r="K357" s="5">
        <f>Table13[[#This Row],[Sales]]/Table13[[#This Row],[Unique Visitors]]</f>
        <v>3.2945003669251176E-3</v>
      </c>
      <c r="L357"/>
    </row>
    <row r="358" spans="1:12" x14ac:dyDescent="0.2">
      <c r="A358" s="2" t="s">
        <v>11</v>
      </c>
      <c r="B358" s="2" t="s">
        <v>37</v>
      </c>
      <c r="C358" s="2" t="s">
        <v>62</v>
      </c>
      <c r="D358" s="2" t="s">
        <v>72</v>
      </c>
      <c r="E358" s="2" t="s">
        <v>75</v>
      </c>
      <c r="F358" s="2" t="s">
        <v>77</v>
      </c>
      <c r="G358" s="2">
        <v>2024</v>
      </c>
      <c r="H358" s="3">
        <v>1671</v>
      </c>
      <c r="I358" s="3">
        <v>931868.70693004446</v>
      </c>
      <c r="J358" s="4">
        <f>Table13[[#This Row],[Unique Visitors]]/Table13[[#This Row],[Sales]]</f>
        <v>557.67127883306068</v>
      </c>
      <c r="K358" s="5">
        <f>Table13[[#This Row],[Sales]]/Table13[[#This Row],[Unique Visitors]]</f>
        <v>1.7931710632337419E-3</v>
      </c>
      <c r="L358"/>
    </row>
    <row r="359" spans="1:12" x14ac:dyDescent="0.2">
      <c r="A359" s="2" t="s">
        <v>11</v>
      </c>
      <c r="B359" s="2" t="s">
        <v>12</v>
      </c>
      <c r="C359" s="2" t="s">
        <v>60</v>
      </c>
      <c r="D359" s="2" t="s">
        <v>72</v>
      </c>
      <c r="E359" s="2" t="s">
        <v>75</v>
      </c>
      <c r="F359" s="2" t="s">
        <v>77</v>
      </c>
      <c r="G359" s="2">
        <v>2024</v>
      </c>
      <c r="H359" s="3">
        <v>1666</v>
      </c>
      <c r="I359" s="3">
        <v>640477.93795326597</v>
      </c>
      <c r="J359" s="4">
        <f>Table13[[#This Row],[Unique Visitors]]/Table13[[#This Row],[Sales]]</f>
        <v>384.44053898755459</v>
      </c>
      <c r="K359" s="5">
        <f>Table13[[#This Row],[Sales]]/Table13[[#This Row],[Unique Visitors]]</f>
        <v>2.6011824940042881E-3</v>
      </c>
      <c r="L359"/>
    </row>
    <row r="360" spans="1:12" x14ac:dyDescent="0.2">
      <c r="A360" s="2" t="s">
        <v>60</v>
      </c>
      <c r="B360" s="2" t="s">
        <v>52</v>
      </c>
      <c r="C360" s="2" t="s">
        <v>69</v>
      </c>
      <c r="D360" s="2" t="s">
        <v>73</v>
      </c>
      <c r="E360" s="2" t="s">
        <v>75</v>
      </c>
      <c r="F360" s="2" t="s">
        <v>77</v>
      </c>
      <c r="G360" s="2">
        <v>2024</v>
      </c>
      <c r="H360" s="3">
        <v>1661</v>
      </c>
      <c r="I360" s="3">
        <v>523061.6807020409</v>
      </c>
      <c r="J360" s="4">
        <f>Table13[[#This Row],[Unique Visitors]]/Table13[[#This Row],[Sales]]</f>
        <v>314.90769458280607</v>
      </c>
      <c r="K360" s="5">
        <f>Table13[[#This Row],[Sales]]/Table13[[#This Row],[Unique Visitors]]</f>
        <v>3.1755337109968472E-3</v>
      </c>
      <c r="L360"/>
    </row>
    <row r="361" spans="1:12" x14ac:dyDescent="0.2">
      <c r="A361" s="2" t="s">
        <v>11</v>
      </c>
      <c r="B361" s="2" t="s">
        <v>31</v>
      </c>
      <c r="C361" s="2" t="s">
        <v>68</v>
      </c>
      <c r="D361" s="2" t="s">
        <v>73</v>
      </c>
      <c r="E361" s="2" t="s">
        <v>75</v>
      </c>
      <c r="F361" s="2" t="s">
        <v>77</v>
      </c>
      <c r="G361" s="2">
        <v>2024</v>
      </c>
      <c r="H361" s="3">
        <v>1617</v>
      </c>
      <c r="I361" s="3">
        <v>347577</v>
      </c>
      <c r="J361" s="4">
        <f>Table13[[#This Row],[Unique Visitors]]/Table13[[#This Row],[Sales]]</f>
        <v>214.95176252319109</v>
      </c>
      <c r="K361" s="5">
        <f>Table13[[#This Row],[Sales]]/Table13[[#This Row],[Unique Visitors]]</f>
        <v>4.6522065614237997E-3</v>
      </c>
      <c r="L361"/>
    </row>
    <row r="362" spans="1:12" x14ac:dyDescent="0.2">
      <c r="A362" s="2" t="s">
        <v>11</v>
      </c>
      <c r="B362" s="2" t="s">
        <v>51</v>
      </c>
      <c r="C362" s="2" t="s">
        <v>63</v>
      </c>
      <c r="D362" s="2" t="s">
        <v>73</v>
      </c>
      <c r="E362" s="2" t="s">
        <v>75</v>
      </c>
      <c r="F362" s="2" t="s">
        <v>77</v>
      </c>
      <c r="G362" s="2">
        <v>2025</v>
      </c>
      <c r="H362" s="3">
        <v>1580</v>
      </c>
      <c r="I362" s="3">
        <v>267004.83160264138</v>
      </c>
      <c r="J362" s="4">
        <f>Table13[[#This Row],[Unique Visitors]]/Table13[[#This Row],[Sales]]</f>
        <v>168.9903997485072</v>
      </c>
      <c r="K362" s="5">
        <f>Table13[[#This Row],[Sales]]/Table13[[#This Row],[Unique Visitors]]</f>
        <v>5.9174959138992957E-3</v>
      </c>
      <c r="L362"/>
    </row>
    <row r="363" spans="1:12" x14ac:dyDescent="0.2">
      <c r="A363" s="2" t="s">
        <v>11</v>
      </c>
      <c r="B363" s="2" t="s">
        <v>31</v>
      </c>
      <c r="C363" s="2" t="s">
        <v>68</v>
      </c>
      <c r="D363" s="2" t="s">
        <v>73</v>
      </c>
      <c r="E363" s="2" t="s">
        <v>75</v>
      </c>
      <c r="F363" s="2" t="s">
        <v>77</v>
      </c>
      <c r="G363" s="2">
        <v>2025</v>
      </c>
      <c r="H363" s="3">
        <v>1505</v>
      </c>
      <c r="I363" s="3">
        <v>502845</v>
      </c>
      <c r="J363" s="4">
        <f>Table13[[#This Row],[Unique Visitors]]/Table13[[#This Row],[Sales]]</f>
        <v>334.11627906976742</v>
      </c>
      <c r="K363" s="5">
        <f>Table13[[#This Row],[Sales]]/Table13[[#This Row],[Unique Visitors]]</f>
        <v>2.9929700006960393E-3</v>
      </c>
      <c r="L363"/>
    </row>
    <row r="364" spans="1:12" x14ac:dyDescent="0.2">
      <c r="A364" s="2" t="s">
        <v>63</v>
      </c>
      <c r="B364" s="2" t="s">
        <v>28</v>
      </c>
      <c r="C364" s="2" t="s">
        <v>64</v>
      </c>
      <c r="D364" s="2" t="s">
        <v>73</v>
      </c>
      <c r="E364" s="2" t="s">
        <v>75</v>
      </c>
      <c r="F364" s="2" t="s">
        <v>78</v>
      </c>
      <c r="G364" s="2">
        <v>2025</v>
      </c>
      <c r="H364" s="3">
        <v>1429</v>
      </c>
      <c r="I364" s="2">
        <v>520000</v>
      </c>
      <c r="J364" s="4">
        <f>Table13[[#This Row],[Unique Visitors]]/Table13[[#This Row],[Sales]]</f>
        <v>363.89083275017492</v>
      </c>
      <c r="K364" s="5">
        <f>Table13[[#This Row],[Sales]]/Table13[[#This Row],[Unique Visitors]]</f>
        <v>2.748076923076923E-3</v>
      </c>
      <c r="L364"/>
    </row>
    <row r="365" spans="1:12" x14ac:dyDescent="0.2">
      <c r="A365" s="2" t="s">
        <v>65</v>
      </c>
      <c r="B365" s="2" t="s">
        <v>52</v>
      </c>
      <c r="C365" s="2" t="s">
        <v>69</v>
      </c>
      <c r="D365" s="2" t="s">
        <v>73</v>
      </c>
      <c r="E365" s="2" t="s">
        <v>75</v>
      </c>
      <c r="F365" s="2" t="s">
        <v>77</v>
      </c>
      <c r="G365" s="2">
        <v>2024</v>
      </c>
      <c r="H365" s="3">
        <v>1382</v>
      </c>
      <c r="I365" s="3">
        <v>731023.32752797613</v>
      </c>
      <c r="J365" s="4">
        <f>Table13[[#This Row],[Unique Visitors]]/Table13[[#This Row],[Sales]]</f>
        <v>528.96043960056159</v>
      </c>
      <c r="K365" s="5">
        <f>Table13[[#This Row],[Sales]]/Table13[[#This Row],[Unique Visitors]]</f>
        <v>1.8905005462320369E-3</v>
      </c>
      <c r="L365"/>
    </row>
    <row r="366" spans="1:12" x14ac:dyDescent="0.2">
      <c r="A366" s="2" t="s">
        <v>11</v>
      </c>
      <c r="B366" s="2" t="s">
        <v>13</v>
      </c>
      <c r="C366" s="2" t="s">
        <v>61</v>
      </c>
      <c r="D366" s="2" t="s">
        <v>73</v>
      </c>
      <c r="E366" s="2" t="s">
        <v>75</v>
      </c>
      <c r="F366" s="2" t="s">
        <v>77</v>
      </c>
      <c r="G366" s="2">
        <v>2025</v>
      </c>
      <c r="H366" s="3">
        <v>1369</v>
      </c>
      <c r="I366" s="3">
        <v>370956.7815859621</v>
      </c>
      <c r="J366" s="4">
        <f>Table13[[#This Row],[Unique Visitors]]/Table13[[#This Row],[Sales]]</f>
        <v>270.9691611292638</v>
      </c>
      <c r="K366" s="5">
        <f>Table13[[#This Row],[Sales]]/Table13[[#This Row],[Unique Visitors]]</f>
        <v>3.690456861705224E-3</v>
      </c>
      <c r="L366"/>
    </row>
    <row r="367" spans="1:12" x14ac:dyDescent="0.2">
      <c r="A367" s="2" t="s">
        <v>11</v>
      </c>
      <c r="B367" s="2" t="s">
        <v>37</v>
      </c>
      <c r="C367" s="2" t="s">
        <v>62</v>
      </c>
      <c r="D367" s="2" t="s">
        <v>72</v>
      </c>
      <c r="E367" s="2" t="s">
        <v>75</v>
      </c>
      <c r="F367" s="2" t="s">
        <v>77</v>
      </c>
      <c r="G367" s="2">
        <v>2025</v>
      </c>
      <c r="H367" s="3">
        <v>1320</v>
      </c>
      <c r="I367" s="3">
        <v>412019.785539873</v>
      </c>
      <c r="J367" s="4">
        <f>Table13[[#This Row],[Unique Visitors]]/Table13[[#This Row],[Sales]]</f>
        <v>312.13620116657046</v>
      </c>
      <c r="K367" s="5">
        <f>Table13[[#This Row],[Sales]]/Table13[[#This Row],[Unique Visitors]]</f>
        <v>3.203729641940357E-3</v>
      </c>
      <c r="L367"/>
    </row>
    <row r="368" spans="1:12" x14ac:dyDescent="0.2">
      <c r="A368" s="2" t="s">
        <v>65</v>
      </c>
      <c r="B368" s="2" t="s">
        <v>52</v>
      </c>
      <c r="C368" s="2" t="s">
        <v>69</v>
      </c>
      <c r="D368" s="2" t="s">
        <v>73</v>
      </c>
      <c r="E368" s="2" t="s">
        <v>75</v>
      </c>
      <c r="F368" s="2" t="s">
        <v>77</v>
      </c>
      <c r="G368" s="2">
        <v>2025</v>
      </c>
      <c r="H368" s="3">
        <v>1218</v>
      </c>
      <c r="I368" s="3">
        <v>786723.70587062044</v>
      </c>
      <c r="J368" s="4">
        <f>Table13[[#This Row],[Unique Visitors]]/Table13[[#This Row],[Sales]]</f>
        <v>645.91437263597743</v>
      </c>
      <c r="K368" s="5">
        <f>Table13[[#This Row],[Sales]]/Table13[[#This Row],[Unique Visitors]]</f>
        <v>1.5481928292120188E-3</v>
      </c>
      <c r="L368"/>
    </row>
    <row r="369" spans="1:12" x14ac:dyDescent="0.2">
      <c r="A369" s="2" t="s">
        <v>11</v>
      </c>
      <c r="B369" s="2" t="s">
        <v>25</v>
      </c>
      <c r="C369" s="2" t="s">
        <v>68</v>
      </c>
      <c r="D369" s="2" t="s">
        <v>72</v>
      </c>
      <c r="E369" s="2" t="s">
        <v>75</v>
      </c>
      <c r="F369" s="2" t="s">
        <v>77</v>
      </c>
      <c r="G369" s="2">
        <v>2024</v>
      </c>
      <c r="H369" s="3">
        <v>1210</v>
      </c>
      <c r="I369" s="3">
        <v>392392.46774412261</v>
      </c>
      <c r="J369" s="4">
        <f>Table13[[#This Row],[Unique Visitors]]/Table13[[#This Row],[Sales]]</f>
        <v>324.29129565629967</v>
      </c>
      <c r="K369" s="5">
        <f>Table13[[#This Row],[Sales]]/Table13[[#This Row],[Unique Visitors]]</f>
        <v>3.0836473670260043E-3</v>
      </c>
      <c r="L369"/>
    </row>
    <row r="370" spans="1:12" x14ac:dyDescent="0.2">
      <c r="A370" s="2" t="s">
        <v>65</v>
      </c>
      <c r="B370" s="2" t="s">
        <v>29</v>
      </c>
      <c r="C370" s="2" t="s">
        <v>62</v>
      </c>
      <c r="D370" s="2" t="s">
        <v>72</v>
      </c>
      <c r="E370" s="2" t="s">
        <v>75</v>
      </c>
      <c r="F370" s="2" t="s">
        <v>77</v>
      </c>
      <c r="G370" s="2">
        <v>2024</v>
      </c>
      <c r="H370" s="3">
        <v>1179</v>
      </c>
      <c r="I370" s="3">
        <v>658896.43923979858</v>
      </c>
      <c r="J370" s="4">
        <f>Table13[[#This Row],[Unique Visitors]]/Table13[[#This Row],[Sales]]</f>
        <v>558.86042344342547</v>
      </c>
      <c r="K370" s="5">
        <f>Table13[[#This Row],[Sales]]/Table13[[#This Row],[Unique Visitors]]</f>
        <v>1.7893555493489548E-3</v>
      </c>
      <c r="L370"/>
    </row>
    <row r="371" spans="1:12" x14ac:dyDescent="0.2">
      <c r="A371" s="2" t="s">
        <v>11</v>
      </c>
      <c r="B371" s="2" t="s">
        <v>25</v>
      </c>
      <c r="C371" s="2" t="s">
        <v>68</v>
      </c>
      <c r="D371" s="2" t="s">
        <v>72</v>
      </c>
      <c r="E371" s="2" t="s">
        <v>75</v>
      </c>
      <c r="F371" s="2" t="s">
        <v>77</v>
      </c>
      <c r="G371" s="2">
        <v>2025</v>
      </c>
      <c r="H371" s="3">
        <v>1157</v>
      </c>
      <c r="I371" s="3">
        <v>482739.54970845842</v>
      </c>
      <c r="J371" s="4">
        <f>Table13[[#This Row],[Unique Visitors]]/Table13[[#This Row],[Sales]]</f>
        <v>417.2338372588232</v>
      </c>
      <c r="K371" s="5">
        <f>Table13[[#This Row],[Sales]]/Table13[[#This Row],[Unique Visitors]]</f>
        <v>2.3967375382828041E-3</v>
      </c>
      <c r="L371"/>
    </row>
    <row r="372" spans="1:12" x14ac:dyDescent="0.2">
      <c r="A372" s="2" t="s">
        <v>63</v>
      </c>
      <c r="B372" s="2" t="s">
        <v>33</v>
      </c>
      <c r="C372" s="2" t="s">
        <v>60</v>
      </c>
      <c r="D372" s="2" t="s">
        <v>74</v>
      </c>
      <c r="E372" s="2" t="s">
        <v>75</v>
      </c>
      <c r="F372" s="2" t="s">
        <v>77</v>
      </c>
      <c r="G372" s="2">
        <v>2025</v>
      </c>
      <c r="H372" s="3">
        <v>1153</v>
      </c>
      <c r="I372" s="3">
        <v>692187.63622807129</v>
      </c>
      <c r="J372" s="4">
        <f>Table13[[#This Row],[Unique Visitors]]/Table13[[#This Row],[Sales]]</f>
        <v>600.33619794281981</v>
      </c>
      <c r="K372" s="5">
        <f>Table13[[#This Row],[Sales]]/Table13[[#This Row],[Unique Visitors]]</f>
        <v>1.6657333064817904E-3</v>
      </c>
      <c r="L372"/>
    </row>
    <row r="373" spans="1:12" x14ac:dyDescent="0.2">
      <c r="A373" s="2" t="s">
        <v>11</v>
      </c>
      <c r="B373" s="2" t="s">
        <v>20</v>
      </c>
      <c r="C373" s="2" t="s">
        <v>61</v>
      </c>
      <c r="D373" s="2" t="s">
        <v>73</v>
      </c>
      <c r="E373" s="2" t="s">
        <v>75</v>
      </c>
      <c r="F373" s="2" t="s">
        <v>77</v>
      </c>
      <c r="G373" s="2">
        <v>2024</v>
      </c>
      <c r="H373" s="3">
        <v>1152</v>
      </c>
      <c r="I373" s="3">
        <v>505642.38800944469</v>
      </c>
      <c r="J373" s="4">
        <f>Table13[[#This Row],[Unique Visitors]]/Table13[[#This Row],[Sales]]</f>
        <v>438.9256840359763</v>
      </c>
      <c r="K373" s="5">
        <f>Table13[[#This Row],[Sales]]/Table13[[#This Row],[Unique Visitors]]</f>
        <v>2.278290007558627E-3</v>
      </c>
      <c r="L373"/>
    </row>
    <row r="374" spans="1:12" x14ac:dyDescent="0.2">
      <c r="A374" s="2" t="s">
        <v>63</v>
      </c>
      <c r="B374" s="2" t="s">
        <v>33</v>
      </c>
      <c r="C374" s="2" t="s">
        <v>60</v>
      </c>
      <c r="D374" s="2" t="s">
        <v>74</v>
      </c>
      <c r="E374" s="2" t="s">
        <v>75</v>
      </c>
      <c r="F374" s="2" t="s">
        <v>77</v>
      </c>
      <c r="G374" s="2">
        <v>2024</v>
      </c>
      <c r="H374" s="3">
        <v>1114</v>
      </c>
      <c r="I374" s="3">
        <v>707871.35854426131</v>
      </c>
      <c r="J374" s="4">
        <f>Table13[[#This Row],[Unique Visitors]]/Table13[[#This Row],[Sales]]</f>
        <v>635.43209923183247</v>
      </c>
      <c r="K374" s="5">
        <f>Table13[[#This Row],[Sales]]/Table13[[#This Row],[Unique Visitors]]</f>
        <v>1.5737322700708543E-3</v>
      </c>
      <c r="L374"/>
    </row>
    <row r="375" spans="1:12" x14ac:dyDescent="0.2">
      <c r="A375" s="2" t="s">
        <v>63</v>
      </c>
      <c r="B375" s="2" t="s">
        <v>13</v>
      </c>
      <c r="C375" s="2" t="s">
        <v>61</v>
      </c>
      <c r="D375" s="2" t="s">
        <v>73</v>
      </c>
      <c r="E375" s="2" t="s">
        <v>75</v>
      </c>
      <c r="F375" s="2" t="s">
        <v>77</v>
      </c>
      <c r="G375" s="2">
        <v>2025</v>
      </c>
      <c r="H375" s="3">
        <v>1046</v>
      </c>
      <c r="I375" s="3">
        <v>325931.54059082392</v>
      </c>
      <c r="J375" s="4">
        <f>Table13[[#This Row],[Unique Visitors]]/Table13[[#This Row],[Sales]]</f>
        <v>311.59803115757546</v>
      </c>
      <c r="K375" s="5">
        <f>Table13[[#This Row],[Sales]]/Table13[[#This Row],[Unique Visitors]]</f>
        <v>3.2092628964471826E-3</v>
      </c>
      <c r="L375"/>
    </row>
    <row r="376" spans="1:12" x14ac:dyDescent="0.2">
      <c r="A376" s="2" t="s">
        <v>11</v>
      </c>
      <c r="B376" s="2" t="s">
        <v>20</v>
      </c>
      <c r="C376" s="2" t="s">
        <v>61</v>
      </c>
      <c r="D376" s="2" t="s">
        <v>73</v>
      </c>
      <c r="E376" s="2" t="s">
        <v>75</v>
      </c>
      <c r="F376" s="2" t="s">
        <v>77</v>
      </c>
      <c r="G376" s="2">
        <v>2025</v>
      </c>
      <c r="H376" s="3">
        <v>1003</v>
      </c>
      <c r="I376" s="3">
        <v>387769.92452028982</v>
      </c>
      <c r="J376" s="4">
        <f>Table13[[#This Row],[Unique Visitors]]/Table13[[#This Row],[Sales]]</f>
        <v>386.61009423757707</v>
      </c>
      <c r="K376" s="5">
        <f>Table13[[#This Row],[Sales]]/Table13[[#This Row],[Unique Visitors]]</f>
        <v>2.5865853346950809E-3</v>
      </c>
      <c r="L376"/>
    </row>
    <row r="377" spans="1:12" x14ac:dyDescent="0.2">
      <c r="A377" s="2" t="s">
        <v>65</v>
      </c>
      <c r="B377" s="2" t="s">
        <v>51</v>
      </c>
      <c r="C377" s="2" t="s">
        <v>63</v>
      </c>
      <c r="D377" s="2" t="s">
        <v>73</v>
      </c>
      <c r="E377" s="2" t="s">
        <v>75</v>
      </c>
      <c r="F377" s="2" t="s">
        <v>77</v>
      </c>
      <c r="G377" s="2">
        <v>2024</v>
      </c>
      <c r="H377" s="3">
        <v>995</v>
      </c>
      <c r="I377" s="2">
        <v>298069</v>
      </c>
      <c r="J377" s="4">
        <f>Table13[[#This Row],[Unique Visitors]]/Table13[[#This Row],[Sales]]</f>
        <v>299.56683417085429</v>
      </c>
      <c r="K377" s="5">
        <f>Table13[[#This Row],[Sales]]/Table13[[#This Row],[Unique Visitors]]</f>
        <v>3.3381532463959687E-3</v>
      </c>
      <c r="L377"/>
    </row>
    <row r="378" spans="1:12" x14ac:dyDescent="0.2">
      <c r="A378" s="2" t="s">
        <v>11</v>
      </c>
      <c r="B378" s="2" t="s">
        <v>21</v>
      </c>
      <c r="C378" s="2" t="s">
        <v>60</v>
      </c>
      <c r="D378" s="2" t="s">
        <v>74</v>
      </c>
      <c r="E378" s="2" t="s">
        <v>75</v>
      </c>
      <c r="F378" s="2" t="s">
        <v>77</v>
      </c>
      <c r="G378" s="2">
        <v>2024</v>
      </c>
      <c r="H378" s="3">
        <v>940</v>
      </c>
      <c r="I378" s="3">
        <v>1373157.2488634379</v>
      </c>
      <c r="J378" s="4">
        <f>Table13[[#This Row],[Unique Visitors]]/Table13[[#This Row],[Sales]]</f>
        <v>1460.8055838972743</v>
      </c>
      <c r="K378" s="5">
        <f>Table13[[#This Row],[Sales]]/Table13[[#This Row],[Unique Visitors]]</f>
        <v>6.8455379074613477E-4</v>
      </c>
      <c r="L378"/>
    </row>
    <row r="379" spans="1:12" x14ac:dyDescent="0.2">
      <c r="A379" s="2" t="s">
        <v>61</v>
      </c>
      <c r="B379" s="2" t="s">
        <v>51</v>
      </c>
      <c r="C379" s="2" t="s">
        <v>63</v>
      </c>
      <c r="D379" s="2" t="s">
        <v>73</v>
      </c>
      <c r="E379" s="2" t="s">
        <v>75</v>
      </c>
      <c r="F379" s="2" t="s">
        <v>77</v>
      </c>
      <c r="G379" s="2">
        <v>2025</v>
      </c>
      <c r="H379" s="3">
        <v>929</v>
      </c>
      <c r="I379" s="3">
        <v>236498</v>
      </c>
      <c r="J379" s="4">
        <f>Table13[[#This Row],[Unique Visitors]]/Table13[[#This Row],[Sales]]</f>
        <v>254.57265877287406</v>
      </c>
      <c r="K379" s="5">
        <f>Table13[[#This Row],[Sales]]/Table13[[#This Row],[Unique Visitors]]</f>
        <v>3.9281516122757912E-3</v>
      </c>
      <c r="L379"/>
    </row>
    <row r="380" spans="1:12" x14ac:dyDescent="0.2">
      <c r="A380" s="2" t="s">
        <v>60</v>
      </c>
      <c r="B380" s="2" t="s">
        <v>29</v>
      </c>
      <c r="C380" s="2" t="s">
        <v>62</v>
      </c>
      <c r="D380" s="2" t="s">
        <v>72</v>
      </c>
      <c r="E380" s="2" t="s">
        <v>75</v>
      </c>
      <c r="F380" s="2" t="s">
        <v>77</v>
      </c>
      <c r="G380" s="2">
        <v>2024</v>
      </c>
      <c r="H380" s="3">
        <v>918</v>
      </c>
      <c r="I380" s="3">
        <v>662633.28646534262</v>
      </c>
      <c r="J380" s="4">
        <f>Table13[[#This Row],[Unique Visitors]]/Table13[[#This Row],[Sales]]</f>
        <v>721.82275214089611</v>
      </c>
      <c r="K380" s="5">
        <f>Table13[[#This Row],[Sales]]/Table13[[#This Row],[Unique Visitors]]</f>
        <v>1.385381656416401E-3</v>
      </c>
      <c r="L380"/>
    </row>
    <row r="381" spans="1:12" x14ac:dyDescent="0.2">
      <c r="A381" s="2" t="s">
        <v>65</v>
      </c>
      <c r="B381" s="2" t="s">
        <v>46</v>
      </c>
      <c r="C381" s="2" t="s">
        <v>70</v>
      </c>
      <c r="D381" s="2" t="s">
        <v>72</v>
      </c>
      <c r="E381" s="2" t="s">
        <v>76</v>
      </c>
      <c r="F381" s="2" t="s">
        <v>77</v>
      </c>
      <c r="G381" s="2">
        <v>2025</v>
      </c>
      <c r="H381" s="3">
        <v>842</v>
      </c>
      <c r="I381" s="3">
        <v>378405.30514385609</v>
      </c>
      <c r="J381" s="4">
        <f>Table13[[#This Row],[Unique Visitors]]/Table13[[#This Row],[Sales]]</f>
        <v>449.41247641788135</v>
      </c>
      <c r="K381" s="5">
        <f>Table13[[#This Row],[Sales]]/Table13[[#This Row],[Unique Visitors]]</f>
        <v>2.2251273662241651E-3</v>
      </c>
      <c r="L381"/>
    </row>
    <row r="382" spans="1:12" x14ac:dyDescent="0.2">
      <c r="A382" s="2" t="s">
        <v>60</v>
      </c>
      <c r="B382" s="2" t="s">
        <v>21</v>
      </c>
      <c r="C382" s="2" t="s">
        <v>60</v>
      </c>
      <c r="D382" s="2" t="s">
        <v>74</v>
      </c>
      <c r="E382" s="2" t="s">
        <v>75</v>
      </c>
      <c r="F382" s="2" t="s">
        <v>77</v>
      </c>
      <c r="G382" s="2">
        <v>2025</v>
      </c>
      <c r="H382" s="3">
        <v>810</v>
      </c>
      <c r="I382" s="3">
        <v>3086465.0698193614</v>
      </c>
      <c r="J382" s="4">
        <f>Table13[[#This Row],[Unique Visitors]]/Table13[[#This Row],[Sales]]</f>
        <v>3810.4507034806929</v>
      </c>
      <c r="K382" s="5">
        <f>Table13[[#This Row],[Sales]]/Table13[[#This Row],[Unique Visitors]]</f>
        <v>2.6243614674939644E-4</v>
      </c>
      <c r="L382"/>
    </row>
    <row r="383" spans="1:12" x14ac:dyDescent="0.2">
      <c r="A383" s="2" t="s">
        <v>11</v>
      </c>
      <c r="B383" s="2" t="s">
        <v>33</v>
      </c>
      <c r="C383" s="2" t="s">
        <v>60</v>
      </c>
      <c r="D383" s="2" t="s">
        <v>74</v>
      </c>
      <c r="E383" s="2" t="s">
        <v>75</v>
      </c>
      <c r="F383" s="2" t="s">
        <v>77</v>
      </c>
      <c r="G383" s="2">
        <v>2024</v>
      </c>
      <c r="H383" s="3">
        <v>795</v>
      </c>
      <c r="I383" s="3">
        <v>691368.44971052487</v>
      </c>
      <c r="J383" s="4">
        <f>Table13[[#This Row],[Unique Visitors]]/Table13[[#This Row],[Sales]]</f>
        <v>869.64584869248415</v>
      </c>
      <c r="K383" s="5">
        <f>Table13[[#This Row],[Sales]]/Table13[[#This Row],[Unique Visitors]]</f>
        <v>1.1498933749910999E-3</v>
      </c>
      <c r="L383"/>
    </row>
    <row r="384" spans="1:12" x14ac:dyDescent="0.2">
      <c r="A384" s="2" t="s">
        <v>60</v>
      </c>
      <c r="B384" s="2" t="s">
        <v>21</v>
      </c>
      <c r="C384" s="2" t="s">
        <v>60</v>
      </c>
      <c r="D384" s="2" t="s">
        <v>74</v>
      </c>
      <c r="E384" s="2" t="s">
        <v>75</v>
      </c>
      <c r="F384" s="2" t="s">
        <v>77</v>
      </c>
      <c r="G384" s="2">
        <v>2024</v>
      </c>
      <c r="H384" s="3">
        <v>754</v>
      </c>
      <c r="I384" s="3">
        <v>3152229.8866923107</v>
      </c>
      <c r="J384" s="4">
        <f>Table13[[#This Row],[Unique Visitors]]/Table13[[#This Row],[Sales]]</f>
        <v>4180.6762422974944</v>
      </c>
      <c r="K384" s="5">
        <f>Table13[[#This Row],[Sales]]/Table13[[#This Row],[Unique Visitors]]</f>
        <v>2.391957525633339E-4</v>
      </c>
      <c r="L384"/>
    </row>
    <row r="385" spans="1:12" x14ac:dyDescent="0.2">
      <c r="A385" s="2" t="s">
        <v>11</v>
      </c>
      <c r="B385" s="2" t="s">
        <v>59</v>
      </c>
      <c r="C385" s="2" t="s">
        <v>64</v>
      </c>
      <c r="D385" s="2" t="s">
        <v>72</v>
      </c>
      <c r="E385" s="2" t="s">
        <v>75</v>
      </c>
      <c r="F385" s="2" t="s">
        <v>78</v>
      </c>
      <c r="G385" s="2">
        <v>2025</v>
      </c>
      <c r="H385" s="3">
        <v>750</v>
      </c>
      <c r="I385" s="3">
        <v>181419.39831414621</v>
      </c>
      <c r="J385" s="4">
        <f>Table13[[#This Row],[Unique Visitors]]/Table13[[#This Row],[Sales]]</f>
        <v>241.89253108552828</v>
      </c>
      <c r="K385" s="5">
        <f>Table13[[#This Row],[Sales]]/Table13[[#This Row],[Unique Visitors]]</f>
        <v>4.1340672881149043E-3</v>
      </c>
      <c r="L385"/>
    </row>
    <row r="386" spans="1:12" x14ac:dyDescent="0.2">
      <c r="A386" s="2" t="s">
        <v>60</v>
      </c>
      <c r="B386" s="2" t="s">
        <v>51</v>
      </c>
      <c r="C386" s="2" t="s">
        <v>63</v>
      </c>
      <c r="D386" s="2" t="s">
        <v>73</v>
      </c>
      <c r="E386" s="2" t="s">
        <v>75</v>
      </c>
      <c r="F386" s="2" t="s">
        <v>77</v>
      </c>
      <c r="G386" s="2">
        <v>2025</v>
      </c>
      <c r="H386" s="3">
        <v>724</v>
      </c>
      <c r="I386" s="3">
        <v>243610</v>
      </c>
      <c r="J386" s="4">
        <f>Table13[[#This Row],[Unique Visitors]]/Table13[[#This Row],[Sales]]</f>
        <v>336.47790055248618</v>
      </c>
      <c r="K386" s="5">
        <f>Table13[[#This Row],[Sales]]/Table13[[#This Row],[Unique Visitors]]</f>
        <v>2.9719633840975331E-3</v>
      </c>
      <c r="L386"/>
    </row>
    <row r="387" spans="1:12" x14ac:dyDescent="0.2">
      <c r="A387" s="2" t="s">
        <v>65</v>
      </c>
      <c r="B387" s="2" t="s">
        <v>46</v>
      </c>
      <c r="C387" s="2" t="s">
        <v>70</v>
      </c>
      <c r="D387" s="2" t="s">
        <v>72</v>
      </c>
      <c r="E387" s="2" t="s">
        <v>76</v>
      </c>
      <c r="F387" s="2" t="s">
        <v>77</v>
      </c>
      <c r="G387" s="2">
        <v>2024</v>
      </c>
      <c r="H387" s="3">
        <v>714</v>
      </c>
      <c r="I387" s="3">
        <v>554492.70608439401</v>
      </c>
      <c r="J387" s="4">
        <f>Table13[[#This Row],[Unique Visitors]]/Table13[[#This Row],[Sales]]</f>
        <v>776.60042868962751</v>
      </c>
      <c r="K387" s="5">
        <f>Table13[[#This Row],[Sales]]/Table13[[#This Row],[Unique Visitors]]</f>
        <v>1.2876634663817001E-3</v>
      </c>
      <c r="L387"/>
    </row>
    <row r="388" spans="1:12" x14ac:dyDescent="0.2">
      <c r="A388" s="2" t="s">
        <v>61</v>
      </c>
      <c r="B388" s="2" t="s">
        <v>52</v>
      </c>
      <c r="C388" s="2" t="s">
        <v>69</v>
      </c>
      <c r="D388" s="2" t="s">
        <v>73</v>
      </c>
      <c r="E388" s="2" t="s">
        <v>75</v>
      </c>
      <c r="F388" s="2" t="s">
        <v>77</v>
      </c>
      <c r="G388" s="2">
        <v>2024</v>
      </c>
      <c r="H388" s="3">
        <v>700</v>
      </c>
      <c r="I388" s="3">
        <v>133642.98877321993</v>
      </c>
      <c r="J388" s="4">
        <f>Table13[[#This Row],[Unique Visitors]]/Table13[[#This Row],[Sales]]</f>
        <v>190.9185553903142</v>
      </c>
      <c r="K388" s="5">
        <f>Table13[[#This Row],[Sales]]/Table13[[#This Row],[Unique Visitors]]</f>
        <v>5.2378355679237069E-3</v>
      </c>
      <c r="L388"/>
    </row>
    <row r="389" spans="1:12" x14ac:dyDescent="0.2">
      <c r="A389" s="2" t="s">
        <v>65</v>
      </c>
      <c r="B389" s="2" t="s">
        <v>59</v>
      </c>
      <c r="C389" s="2" t="s">
        <v>64</v>
      </c>
      <c r="D389" s="2" t="s">
        <v>72</v>
      </c>
      <c r="E389" s="2" t="s">
        <v>75</v>
      </c>
      <c r="F389" s="2" t="s">
        <v>78</v>
      </c>
      <c r="G389" s="2">
        <v>2025</v>
      </c>
      <c r="H389" s="3">
        <v>698</v>
      </c>
      <c r="I389" s="2">
        <v>64786</v>
      </c>
      <c r="J389" s="4">
        <f>Table13[[#This Row],[Unique Visitors]]/Table13[[#This Row],[Sales]]</f>
        <v>92.816618911174785</v>
      </c>
      <c r="K389" s="5">
        <f>Table13[[#This Row],[Sales]]/Table13[[#This Row],[Unique Visitors]]</f>
        <v>1.0773932639767851E-2</v>
      </c>
      <c r="L389"/>
    </row>
    <row r="390" spans="1:12" x14ac:dyDescent="0.2">
      <c r="A390" s="2" t="s">
        <v>11</v>
      </c>
      <c r="B390" s="2" t="s">
        <v>33</v>
      </c>
      <c r="C390" s="2" t="s">
        <v>60</v>
      </c>
      <c r="D390" s="2" t="s">
        <v>74</v>
      </c>
      <c r="E390" s="2" t="s">
        <v>75</v>
      </c>
      <c r="F390" s="2" t="s">
        <v>77</v>
      </c>
      <c r="G390" s="2">
        <v>2025</v>
      </c>
      <c r="H390" s="3">
        <v>677</v>
      </c>
      <c r="I390" s="3">
        <v>627081.58486833156</v>
      </c>
      <c r="J390" s="4">
        <f>Table13[[#This Row],[Unique Visitors]]/Table13[[#This Row],[Sales]]</f>
        <v>926.26526568438931</v>
      </c>
      <c r="K390" s="5">
        <f>Table13[[#This Row],[Sales]]/Table13[[#This Row],[Unique Visitors]]</f>
        <v>1.0796043391102768E-3</v>
      </c>
      <c r="L390"/>
    </row>
    <row r="391" spans="1:12" x14ac:dyDescent="0.2">
      <c r="A391" s="2" t="s">
        <v>61</v>
      </c>
      <c r="B391" s="2" t="s">
        <v>34</v>
      </c>
      <c r="C391" s="2" t="s">
        <v>62</v>
      </c>
      <c r="D391" s="2" t="s">
        <v>72</v>
      </c>
      <c r="E391" s="2" t="s">
        <v>75</v>
      </c>
      <c r="F391" s="2" t="s">
        <v>77</v>
      </c>
      <c r="G391" s="2">
        <v>2025</v>
      </c>
      <c r="H391" s="3">
        <v>671</v>
      </c>
      <c r="I391" s="3">
        <v>839029.23878210923</v>
      </c>
      <c r="J391" s="4">
        <f>Table13[[#This Row],[Unique Visitors]]/Table13[[#This Row],[Sales]]</f>
        <v>1250.4161531775101</v>
      </c>
      <c r="K391" s="5">
        <f>Table13[[#This Row],[Sales]]/Table13[[#This Row],[Unique Visitors]]</f>
        <v>7.9973375060681841E-4</v>
      </c>
      <c r="L391"/>
    </row>
    <row r="392" spans="1:12" x14ac:dyDescent="0.2">
      <c r="A392" s="2" t="s">
        <v>11</v>
      </c>
      <c r="B392" s="2" t="s">
        <v>21</v>
      </c>
      <c r="C392" s="2" t="s">
        <v>60</v>
      </c>
      <c r="D392" s="2" t="s">
        <v>74</v>
      </c>
      <c r="E392" s="2" t="s">
        <v>75</v>
      </c>
      <c r="F392" s="2" t="s">
        <v>77</v>
      </c>
      <c r="G392" s="2">
        <v>2025</v>
      </c>
      <c r="H392" s="3">
        <v>636</v>
      </c>
      <c r="I392" s="3">
        <v>1357841.1163196999</v>
      </c>
      <c r="J392" s="4">
        <f>Table13[[#This Row],[Unique Visitors]]/Table13[[#This Row],[Sales]]</f>
        <v>2134.9703086787736</v>
      </c>
      <c r="K392" s="5">
        <f>Table13[[#This Row],[Sales]]/Table13[[#This Row],[Unique Visitors]]</f>
        <v>4.6839058882221647E-4</v>
      </c>
      <c r="L392"/>
    </row>
    <row r="393" spans="1:12" x14ac:dyDescent="0.2">
      <c r="A393" s="2" t="s">
        <v>63</v>
      </c>
      <c r="B393" s="2" t="s">
        <v>38</v>
      </c>
      <c r="C393" s="2" t="s">
        <v>60</v>
      </c>
      <c r="D393" s="2" t="s">
        <v>72</v>
      </c>
      <c r="E393" s="2" t="s">
        <v>75</v>
      </c>
      <c r="F393" s="2" t="s">
        <v>77</v>
      </c>
      <c r="G393" s="2">
        <v>2025</v>
      </c>
      <c r="H393" s="3">
        <v>635</v>
      </c>
      <c r="I393" s="3">
        <v>247468.2136260517</v>
      </c>
      <c r="J393" s="4">
        <f>Table13[[#This Row],[Unique Visitors]]/Table13[[#This Row],[Sales]]</f>
        <v>389.71372224575072</v>
      </c>
      <c r="K393" s="5">
        <f>Table13[[#This Row],[Sales]]/Table13[[#This Row],[Unique Visitors]]</f>
        <v>2.5659861147239952E-3</v>
      </c>
      <c r="L393"/>
    </row>
    <row r="394" spans="1:12" x14ac:dyDescent="0.2">
      <c r="A394" s="2" t="s">
        <v>65</v>
      </c>
      <c r="B394" s="2" t="s">
        <v>51</v>
      </c>
      <c r="C394" s="2" t="s">
        <v>63</v>
      </c>
      <c r="D394" s="2" t="s">
        <v>73</v>
      </c>
      <c r="E394" s="2" t="s">
        <v>75</v>
      </c>
      <c r="F394" s="2" t="s">
        <v>77</v>
      </c>
      <c r="G394" s="2">
        <v>2025</v>
      </c>
      <c r="H394" s="3">
        <v>618</v>
      </c>
      <c r="I394" s="2">
        <v>348827</v>
      </c>
      <c r="J394" s="4">
        <f>Table13[[#This Row],[Unique Visitors]]/Table13[[#This Row],[Sales]]</f>
        <v>564.4449838187702</v>
      </c>
      <c r="K394" s="5">
        <f>Table13[[#This Row],[Sales]]/Table13[[#This Row],[Unique Visitors]]</f>
        <v>1.7716518503441533E-3</v>
      </c>
      <c r="L394"/>
    </row>
    <row r="395" spans="1:12" x14ac:dyDescent="0.2">
      <c r="A395" s="2" t="s">
        <v>60</v>
      </c>
      <c r="B395" s="2" t="s">
        <v>33</v>
      </c>
      <c r="C395" s="2" t="s">
        <v>60</v>
      </c>
      <c r="D395" s="2" t="s">
        <v>74</v>
      </c>
      <c r="E395" s="2" t="s">
        <v>75</v>
      </c>
      <c r="F395" s="2" t="s">
        <v>77</v>
      </c>
      <c r="G395" s="2">
        <v>2025</v>
      </c>
      <c r="H395" s="3">
        <v>568</v>
      </c>
      <c r="I395" s="3">
        <v>745992.30004052492</v>
      </c>
      <c r="J395" s="4">
        <f>Table13[[#This Row],[Unique Visitors]]/Table13[[#This Row],[Sales]]</f>
        <v>1313.3667254234595</v>
      </c>
      <c r="K395" s="5">
        <f>Table13[[#This Row],[Sales]]/Table13[[#This Row],[Unique Visitors]]</f>
        <v>7.6140196080997649E-4</v>
      </c>
      <c r="L395"/>
    </row>
    <row r="396" spans="1:12" x14ac:dyDescent="0.2">
      <c r="A396" s="2" t="s">
        <v>63</v>
      </c>
      <c r="B396" s="2" t="s">
        <v>38</v>
      </c>
      <c r="C396" s="2" t="s">
        <v>60</v>
      </c>
      <c r="D396" s="2" t="s">
        <v>72</v>
      </c>
      <c r="E396" s="2" t="s">
        <v>75</v>
      </c>
      <c r="F396" s="2" t="s">
        <v>77</v>
      </c>
      <c r="G396" s="2">
        <v>2024</v>
      </c>
      <c r="H396" s="3">
        <v>541</v>
      </c>
      <c r="I396" s="3">
        <v>411607.86626032903</v>
      </c>
      <c r="J396" s="4">
        <f>Table13[[#This Row],[Unique Visitors]]/Table13[[#This Row],[Sales]]</f>
        <v>760.82784891003519</v>
      </c>
      <c r="K396" s="5">
        <f>Table13[[#This Row],[Sales]]/Table13[[#This Row],[Unique Visitors]]</f>
        <v>1.3143577767725035E-3</v>
      </c>
      <c r="L396"/>
    </row>
    <row r="397" spans="1:12" x14ac:dyDescent="0.2">
      <c r="A397" s="2" t="s">
        <v>61</v>
      </c>
      <c r="B397" s="2" t="s">
        <v>29</v>
      </c>
      <c r="C397" s="2" t="s">
        <v>62</v>
      </c>
      <c r="D397" s="2" t="s">
        <v>72</v>
      </c>
      <c r="E397" s="2" t="s">
        <v>75</v>
      </c>
      <c r="F397" s="2" t="s">
        <v>77</v>
      </c>
      <c r="G397" s="2">
        <v>2024</v>
      </c>
      <c r="H397" s="3">
        <v>517</v>
      </c>
      <c r="I397" s="3">
        <v>738509.21094906772</v>
      </c>
      <c r="J397" s="4">
        <f>Table13[[#This Row],[Unique Visitors]]/Table13[[#This Row],[Sales]]</f>
        <v>1428.451085007868</v>
      </c>
      <c r="K397" s="5">
        <f>Table13[[#This Row],[Sales]]/Table13[[#This Row],[Unique Visitors]]</f>
        <v>7.0005897331408583E-4</v>
      </c>
      <c r="L397"/>
    </row>
    <row r="398" spans="1:12" x14ac:dyDescent="0.2">
      <c r="A398" s="2" t="s">
        <v>61</v>
      </c>
      <c r="B398" s="2" t="s">
        <v>52</v>
      </c>
      <c r="C398" s="2" t="s">
        <v>69</v>
      </c>
      <c r="D398" s="2" t="s">
        <v>73</v>
      </c>
      <c r="E398" s="2" t="s">
        <v>75</v>
      </c>
      <c r="F398" s="2" t="s">
        <v>77</v>
      </c>
      <c r="G398" s="2">
        <v>2025</v>
      </c>
      <c r="H398" s="3">
        <v>500</v>
      </c>
      <c r="I398" s="3">
        <v>148363.09187809136</v>
      </c>
      <c r="J398" s="4">
        <f>Table13[[#This Row],[Unique Visitors]]/Table13[[#This Row],[Sales]]</f>
        <v>296.72618375618271</v>
      </c>
      <c r="K398" s="5">
        <f>Table13[[#This Row],[Sales]]/Table13[[#This Row],[Unique Visitors]]</f>
        <v>3.370110407316434E-3</v>
      </c>
      <c r="L398"/>
    </row>
    <row r="399" spans="1:12" x14ac:dyDescent="0.2">
      <c r="A399" s="2" t="s">
        <v>60</v>
      </c>
      <c r="B399" s="2" t="s">
        <v>33</v>
      </c>
      <c r="C399" s="2" t="s">
        <v>60</v>
      </c>
      <c r="D399" s="2" t="s">
        <v>74</v>
      </c>
      <c r="E399" s="2" t="s">
        <v>75</v>
      </c>
      <c r="F399" s="2" t="s">
        <v>77</v>
      </c>
      <c r="G399" s="2">
        <v>2024</v>
      </c>
      <c r="H399" s="3">
        <v>482</v>
      </c>
      <c r="I399" s="3">
        <v>929615.60841464729</v>
      </c>
      <c r="J399" s="4">
        <f>Table13[[#This Row],[Unique Visitors]]/Table13[[#This Row],[Sales]]</f>
        <v>1928.6630879971935</v>
      </c>
      <c r="K399" s="5">
        <f>Table13[[#This Row],[Sales]]/Table13[[#This Row],[Unique Visitors]]</f>
        <v>5.1849387600321774E-4</v>
      </c>
      <c r="L399"/>
    </row>
    <row r="400" spans="1:12" x14ac:dyDescent="0.2">
      <c r="A400" s="2" t="s">
        <v>11</v>
      </c>
      <c r="B400" s="2" t="s">
        <v>38</v>
      </c>
      <c r="C400" s="2" t="s">
        <v>60</v>
      </c>
      <c r="D400" s="2" t="s">
        <v>72</v>
      </c>
      <c r="E400" s="2" t="s">
        <v>75</v>
      </c>
      <c r="F400" s="2" t="s">
        <v>77</v>
      </c>
      <c r="G400" s="2">
        <v>2024</v>
      </c>
      <c r="H400" s="3">
        <v>469</v>
      </c>
      <c r="I400" s="3">
        <v>372607.87881930091</v>
      </c>
      <c r="J400" s="4">
        <f>Table13[[#This Row],[Unique Visitors]]/Table13[[#This Row],[Sales]]</f>
        <v>794.47308916695295</v>
      </c>
      <c r="K400" s="5">
        <f>Table13[[#This Row],[Sales]]/Table13[[#This Row],[Unique Visitors]]</f>
        <v>1.2586958748326553E-3</v>
      </c>
      <c r="L400"/>
    </row>
    <row r="401" spans="1:12" x14ac:dyDescent="0.2">
      <c r="A401" s="2" t="s">
        <v>63</v>
      </c>
      <c r="B401" s="2" t="s">
        <v>13</v>
      </c>
      <c r="C401" s="2" t="s">
        <v>61</v>
      </c>
      <c r="D401" s="2" t="s">
        <v>73</v>
      </c>
      <c r="E401" s="2" t="s">
        <v>75</v>
      </c>
      <c r="F401" s="2" t="s">
        <v>77</v>
      </c>
      <c r="G401" s="2">
        <v>2024</v>
      </c>
      <c r="H401" s="3">
        <v>447</v>
      </c>
      <c r="I401" s="3">
        <v>157738.03820545474</v>
      </c>
      <c r="J401" s="4">
        <f>Table13[[#This Row],[Unique Visitors]]/Table13[[#This Row],[Sales]]</f>
        <v>352.88151723815378</v>
      </c>
      <c r="K401" s="5">
        <f>Table13[[#This Row],[Sales]]/Table13[[#This Row],[Unique Visitors]]</f>
        <v>2.8338123453632651E-3</v>
      </c>
      <c r="L401"/>
    </row>
    <row r="402" spans="1:12" x14ac:dyDescent="0.2">
      <c r="A402" s="2" t="s">
        <v>65</v>
      </c>
      <c r="B402" s="2" t="s">
        <v>13</v>
      </c>
      <c r="C402" s="2" t="s">
        <v>61</v>
      </c>
      <c r="D402" s="2" t="s">
        <v>73</v>
      </c>
      <c r="E402" s="2" t="s">
        <v>75</v>
      </c>
      <c r="F402" s="2" t="s">
        <v>77</v>
      </c>
      <c r="G402" s="2">
        <v>2025</v>
      </c>
      <c r="H402" s="3">
        <v>418</v>
      </c>
      <c r="I402" s="3">
        <v>179976.60854346643</v>
      </c>
      <c r="J402" s="4">
        <f>Table13[[#This Row],[Unique Visitors]]/Table13[[#This Row],[Sales]]</f>
        <v>430.56604914704889</v>
      </c>
      <c r="K402" s="5">
        <f>Table13[[#This Row],[Sales]]/Table13[[#This Row],[Unique Visitors]]</f>
        <v>2.3225240401118469E-3</v>
      </c>
      <c r="L402"/>
    </row>
    <row r="403" spans="1:12" x14ac:dyDescent="0.2">
      <c r="A403" s="2" t="s">
        <v>11</v>
      </c>
      <c r="B403" s="2" t="s">
        <v>13</v>
      </c>
      <c r="C403" s="2" t="s">
        <v>61</v>
      </c>
      <c r="D403" s="2" t="s">
        <v>73</v>
      </c>
      <c r="E403" s="2" t="s">
        <v>75</v>
      </c>
      <c r="F403" s="2" t="s">
        <v>77</v>
      </c>
      <c r="G403" s="2">
        <v>2024</v>
      </c>
      <c r="H403" s="3">
        <v>371</v>
      </c>
      <c r="I403" s="3">
        <v>210019.28143269109</v>
      </c>
      <c r="J403" s="4">
        <f>Table13[[#This Row],[Unique Visitors]]/Table13[[#This Row],[Sales]]</f>
        <v>566.08970736574418</v>
      </c>
      <c r="K403" s="5">
        <f>Table13[[#This Row],[Sales]]/Table13[[#This Row],[Unique Visitors]]</f>
        <v>1.7665044726805309E-3</v>
      </c>
      <c r="L403"/>
    </row>
    <row r="404" spans="1:12" x14ac:dyDescent="0.2">
      <c r="A404" s="2" t="s">
        <v>63</v>
      </c>
      <c r="B404" s="2" t="s">
        <v>37</v>
      </c>
      <c r="C404" s="2" t="s">
        <v>62</v>
      </c>
      <c r="D404" s="2" t="s">
        <v>72</v>
      </c>
      <c r="E404" s="2" t="s">
        <v>75</v>
      </c>
      <c r="F404" s="2" t="s">
        <v>77</v>
      </c>
      <c r="G404" s="2">
        <v>2024</v>
      </c>
      <c r="H404" s="3">
        <v>365</v>
      </c>
      <c r="I404" s="3">
        <v>296073.65578396939</v>
      </c>
      <c r="J404" s="4">
        <f>Table13[[#This Row],[Unique Visitors]]/Table13[[#This Row],[Sales]]</f>
        <v>811.16070077799827</v>
      </c>
      <c r="K404" s="5">
        <f>Table13[[#This Row],[Sales]]/Table13[[#This Row],[Unique Visitors]]</f>
        <v>1.2328013413875729E-3</v>
      </c>
      <c r="L404"/>
    </row>
    <row r="405" spans="1:12" x14ac:dyDescent="0.2">
      <c r="A405" s="2" t="s">
        <v>11</v>
      </c>
      <c r="B405" s="2" t="s">
        <v>24</v>
      </c>
      <c r="C405" s="2" t="s">
        <v>64</v>
      </c>
      <c r="D405" s="2" t="s">
        <v>73</v>
      </c>
      <c r="E405" s="2" t="s">
        <v>75</v>
      </c>
      <c r="F405" s="2" t="s">
        <v>78</v>
      </c>
      <c r="G405" s="2">
        <v>2025</v>
      </c>
      <c r="H405" s="3">
        <v>353</v>
      </c>
      <c r="I405" s="3">
        <v>246892.1289306244</v>
      </c>
      <c r="J405" s="4">
        <f>Table13[[#This Row],[Unique Visitors]]/Table13[[#This Row],[Sales]]</f>
        <v>699.41113011508332</v>
      </c>
      <c r="K405" s="5">
        <f>Table13[[#This Row],[Sales]]/Table13[[#This Row],[Unique Visitors]]</f>
        <v>1.4297742156826371E-3</v>
      </c>
      <c r="L405"/>
    </row>
    <row r="406" spans="1:12" x14ac:dyDescent="0.2">
      <c r="A406" s="2" t="s">
        <v>63</v>
      </c>
      <c r="B406" s="2" t="s">
        <v>37</v>
      </c>
      <c r="C406" s="2" t="s">
        <v>62</v>
      </c>
      <c r="D406" s="2" t="s">
        <v>72</v>
      </c>
      <c r="E406" s="2" t="s">
        <v>75</v>
      </c>
      <c r="F406" s="2" t="s">
        <v>77</v>
      </c>
      <c r="G406" s="2">
        <v>2025</v>
      </c>
      <c r="H406" s="3">
        <v>339</v>
      </c>
      <c r="I406" s="3">
        <v>216561.07535558398</v>
      </c>
      <c r="J406" s="4">
        <f>Table13[[#This Row],[Unique Visitors]]/Table13[[#This Row],[Sales]]</f>
        <v>638.82323113741586</v>
      </c>
      <c r="K406" s="5">
        <f>Table13[[#This Row],[Sales]]/Table13[[#This Row],[Unique Visitors]]</f>
        <v>1.5653782631222003E-3</v>
      </c>
      <c r="L406"/>
    </row>
    <row r="407" spans="1:12" x14ac:dyDescent="0.2">
      <c r="A407" s="2" t="s">
        <v>11</v>
      </c>
      <c r="B407" s="2" t="s">
        <v>38</v>
      </c>
      <c r="C407" s="2" t="s">
        <v>60</v>
      </c>
      <c r="D407" s="2" t="s">
        <v>72</v>
      </c>
      <c r="E407" s="2" t="s">
        <v>75</v>
      </c>
      <c r="F407" s="2" t="s">
        <v>77</v>
      </c>
      <c r="G407" s="2">
        <v>2025</v>
      </c>
      <c r="H407" s="3">
        <v>320</v>
      </c>
      <c r="I407" s="3">
        <v>227158.97169754541</v>
      </c>
      <c r="J407" s="4">
        <f>Table13[[#This Row],[Unique Visitors]]/Table13[[#This Row],[Sales]]</f>
        <v>709.87178655482944</v>
      </c>
      <c r="K407" s="5">
        <f>Table13[[#This Row],[Sales]]/Table13[[#This Row],[Unique Visitors]]</f>
        <v>1.4087050914549364E-3</v>
      </c>
      <c r="L407"/>
    </row>
    <row r="408" spans="1:12" x14ac:dyDescent="0.2">
      <c r="A408" s="2" t="s">
        <v>11</v>
      </c>
      <c r="B408" s="2" t="s">
        <v>79</v>
      </c>
      <c r="C408" s="2" t="s">
        <v>64</v>
      </c>
      <c r="D408" s="2" t="s">
        <v>72</v>
      </c>
      <c r="E408" s="2" t="s">
        <v>75</v>
      </c>
      <c r="F408" s="2" t="s">
        <v>78</v>
      </c>
      <c r="G408" s="2">
        <v>2025</v>
      </c>
      <c r="H408" s="3">
        <v>315</v>
      </c>
      <c r="I408" s="3">
        <v>255169</v>
      </c>
      <c r="J408" s="4">
        <f>Table13[[#This Row],[Unique Visitors]]/Table13[[#This Row],[Sales]]</f>
        <v>810.06031746031749</v>
      </c>
      <c r="K408" s="5">
        <f>Table13[[#This Row],[Sales]]/Table13[[#This Row],[Unique Visitors]]</f>
        <v>1.2344759747461487E-3</v>
      </c>
      <c r="L408"/>
    </row>
    <row r="409" spans="1:12" x14ac:dyDescent="0.2">
      <c r="A409" s="2" t="s">
        <v>65</v>
      </c>
      <c r="B409" s="2" t="s">
        <v>38</v>
      </c>
      <c r="C409" s="2" t="s">
        <v>60</v>
      </c>
      <c r="D409" s="2" t="s">
        <v>72</v>
      </c>
      <c r="E409" s="2" t="s">
        <v>75</v>
      </c>
      <c r="F409" s="2" t="s">
        <v>77</v>
      </c>
      <c r="G409" s="2">
        <v>2024</v>
      </c>
      <c r="H409" s="3">
        <v>286</v>
      </c>
      <c r="I409" s="3">
        <v>192240.38714991661</v>
      </c>
      <c r="J409" s="4">
        <f>Table13[[#This Row],[Unique Visitors]]/Table13[[#This Row],[Sales]]</f>
        <v>672.16918583886923</v>
      </c>
      <c r="K409" s="5">
        <f>Table13[[#This Row],[Sales]]/Table13[[#This Row],[Unique Visitors]]</f>
        <v>1.4877206826314074E-3</v>
      </c>
      <c r="L409"/>
    </row>
    <row r="410" spans="1:12" x14ac:dyDescent="0.2">
      <c r="A410" s="2" t="s">
        <v>65</v>
      </c>
      <c r="B410" s="2" t="s">
        <v>38</v>
      </c>
      <c r="C410" s="2" t="s">
        <v>60</v>
      </c>
      <c r="D410" s="2" t="s">
        <v>72</v>
      </c>
      <c r="E410" s="2" t="s">
        <v>75</v>
      </c>
      <c r="F410" s="2" t="s">
        <v>77</v>
      </c>
      <c r="G410" s="2">
        <v>2025</v>
      </c>
      <c r="H410" s="3">
        <v>250</v>
      </c>
      <c r="I410" s="2">
        <v>248723</v>
      </c>
      <c r="J410" s="4">
        <f>Table13[[#This Row],[Unique Visitors]]/Table13[[#This Row],[Sales]]</f>
        <v>994.89200000000005</v>
      </c>
      <c r="K410" s="5">
        <f>Table13[[#This Row],[Sales]]/Table13[[#This Row],[Unique Visitors]]</f>
        <v>1.00513422562449E-3</v>
      </c>
      <c r="L410"/>
    </row>
    <row r="411" spans="1:12" x14ac:dyDescent="0.2">
      <c r="A411" s="2" t="s">
        <v>61</v>
      </c>
      <c r="B411" s="2" t="s">
        <v>37</v>
      </c>
      <c r="C411" s="2" t="s">
        <v>62</v>
      </c>
      <c r="D411" s="2" t="s">
        <v>72</v>
      </c>
      <c r="E411" s="2" t="s">
        <v>75</v>
      </c>
      <c r="F411" s="2" t="s">
        <v>77</v>
      </c>
      <c r="G411" s="2">
        <v>2024</v>
      </c>
      <c r="H411" s="3">
        <v>200</v>
      </c>
      <c r="I411" s="3">
        <v>412725.07148913783</v>
      </c>
      <c r="J411" s="4">
        <f>Table13[[#This Row],[Unique Visitors]]/Table13[[#This Row],[Sales]]</f>
        <v>2063.6253574456891</v>
      </c>
      <c r="K411" s="5">
        <f>Table13[[#This Row],[Sales]]/Table13[[#This Row],[Unique Visitors]]</f>
        <v>4.8458408227633839E-4</v>
      </c>
      <c r="L411"/>
    </row>
    <row r="412" spans="1:12" x14ac:dyDescent="0.2">
      <c r="A412" s="2" t="s">
        <v>63</v>
      </c>
      <c r="B412" s="2" t="s">
        <v>29</v>
      </c>
      <c r="C412" s="2" t="s">
        <v>62</v>
      </c>
      <c r="D412" s="2" t="s">
        <v>72</v>
      </c>
      <c r="E412" s="2" t="s">
        <v>75</v>
      </c>
      <c r="F412" s="2" t="s">
        <v>77</v>
      </c>
      <c r="G412" s="2">
        <v>2025</v>
      </c>
      <c r="H412" s="3">
        <v>194</v>
      </c>
      <c r="I412" s="3">
        <v>369353.46893649449</v>
      </c>
      <c r="J412" s="4">
        <f>Table13[[#This Row],[Unique Visitors]]/Table13[[#This Row],[Sales]]</f>
        <v>1903.8838604973944</v>
      </c>
      <c r="K412" s="5">
        <f>Table13[[#This Row],[Sales]]/Table13[[#This Row],[Unique Visitors]]</f>
        <v>5.2524212256242753E-4</v>
      </c>
      <c r="L412"/>
    </row>
    <row r="413" spans="1:12" x14ac:dyDescent="0.2">
      <c r="A413" s="2" t="s">
        <v>60</v>
      </c>
      <c r="B413" s="2" t="s">
        <v>29</v>
      </c>
      <c r="C413" s="2" t="s">
        <v>62</v>
      </c>
      <c r="D413" s="2" t="s">
        <v>72</v>
      </c>
      <c r="E413" s="2" t="s">
        <v>75</v>
      </c>
      <c r="F413" s="2" t="s">
        <v>77</v>
      </c>
      <c r="G413" s="2">
        <v>2025</v>
      </c>
      <c r="H413" s="3">
        <v>180</v>
      </c>
      <c r="I413" s="3">
        <v>311175.83221579151</v>
      </c>
      <c r="J413" s="4">
        <f>Table13[[#This Row],[Unique Visitors]]/Table13[[#This Row],[Sales]]</f>
        <v>1728.754623421064</v>
      </c>
      <c r="K413" s="5">
        <f>Table13[[#This Row],[Sales]]/Table13[[#This Row],[Unique Visitors]]</f>
        <v>5.7845109216314453E-4</v>
      </c>
      <c r="L413"/>
    </row>
    <row r="414" spans="1:12" x14ac:dyDescent="0.2">
      <c r="A414" s="2" t="s">
        <v>65</v>
      </c>
      <c r="B414" s="2" t="s">
        <v>29</v>
      </c>
      <c r="C414" s="2" t="s">
        <v>62</v>
      </c>
      <c r="D414" s="2" t="s">
        <v>72</v>
      </c>
      <c r="E414" s="2" t="s">
        <v>75</v>
      </c>
      <c r="F414" s="2" t="s">
        <v>77</v>
      </c>
      <c r="G414" s="2">
        <v>2025</v>
      </c>
      <c r="H414" s="3">
        <v>157</v>
      </c>
      <c r="I414" s="3">
        <v>335430.9229769716</v>
      </c>
      <c r="J414" s="4">
        <f>Table13[[#This Row],[Unique Visitors]]/Table13[[#This Row],[Sales]]</f>
        <v>2136.5026941208384</v>
      </c>
      <c r="K414" s="5">
        <f>Table13[[#This Row],[Sales]]/Table13[[#This Row],[Unique Visitors]]</f>
        <v>4.6805464030153995E-4</v>
      </c>
      <c r="L414"/>
    </row>
    <row r="415" spans="1:12" x14ac:dyDescent="0.2">
      <c r="A415" s="2" t="s">
        <v>61</v>
      </c>
      <c r="B415" s="2" t="s">
        <v>33</v>
      </c>
      <c r="C415" s="2" t="s">
        <v>60</v>
      </c>
      <c r="D415" s="2" t="s">
        <v>74</v>
      </c>
      <c r="E415" s="2" t="s">
        <v>75</v>
      </c>
      <c r="F415" s="2" t="s">
        <v>77</v>
      </c>
      <c r="G415" s="2">
        <v>2025</v>
      </c>
      <c r="H415" s="3">
        <v>145</v>
      </c>
      <c r="I415" s="3">
        <v>448569.22099013411</v>
      </c>
      <c r="J415" s="4">
        <f>Table13[[#This Row],[Unique Visitors]]/Table13[[#This Row],[Sales]]</f>
        <v>3093.5808344147181</v>
      </c>
      <c r="K415" s="5">
        <f>Table13[[#This Row],[Sales]]/Table13[[#This Row],[Unique Visitors]]</f>
        <v>3.2324999847278677E-4</v>
      </c>
      <c r="L415"/>
    </row>
    <row r="416" spans="1:12" x14ac:dyDescent="0.2">
      <c r="A416" s="2" t="s">
        <v>61</v>
      </c>
      <c r="B416" s="2" t="s">
        <v>33</v>
      </c>
      <c r="C416" s="2" t="s">
        <v>60</v>
      </c>
      <c r="D416" s="2" t="s">
        <v>74</v>
      </c>
      <c r="E416" s="2" t="s">
        <v>75</v>
      </c>
      <c r="F416" s="2" t="s">
        <v>77</v>
      </c>
      <c r="G416" s="2">
        <v>2024</v>
      </c>
      <c r="H416" s="3">
        <v>119</v>
      </c>
      <c r="I416" s="3">
        <v>490942.53782456939</v>
      </c>
      <c r="J416" s="4">
        <f>Table13[[#This Row],[Unique Visitors]]/Table13[[#This Row],[Sales]]</f>
        <v>4125.5675447442809</v>
      </c>
      <c r="K416" s="5">
        <f>Table13[[#This Row],[Sales]]/Table13[[#This Row],[Unique Visitors]]</f>
        <v>2.4239089268431407E-4</v>
      </c>
      <c r="L416"/>
    </row>
    <row r="417" spans="1:12" x14ac:dyDescent="0.2">
      <c r="A417" s="2" t="s">
        <v>61</v>
      </c>
      <c r="B417" s="2" t="s">
        <v>38</v>
      </c>
      <c r="C417" s="2" t="s">
        <v>60</v>
      </c>
      <c r="D417" s="2" t="s">
        <v>72</v>
      </c>
      <c r="E417" s="2" t="s">
        <v>75</v>
      </c>
      <c r="F417" s="2" t="s">
        <v>77</v>
      </c>
      <c r="G417" s="2">
        <v>2025</v>
      </c>
      <c r="H417" s="3">
        <v>109</v>
      </c>
      <c r="I417" s="3">
        <v>279953.20186046965</v>
      </c>
      <c r="J417" s="4">
        <f>Table13[[#This Row],[Unique Visitors]]/Table13[[#This Row],[Sales]]</f>
        <v>2568.377998719905</v>
      </c>
      <c r="K417" s="5">
        <f>Table13[[#This Row],[Sales]]/Table13[[#This Row],[Unique Visitors]]</f>
        <v>3.8935078890194746E-4</v>
      </c>
      <c r="L417"/>
    </row>
    <row r="418" spans="1:12" x14ac:dyDescent="0.2">
      <c r="A418" s="2" t="s">
        <v>65</v>
      </c>
      <c r="B418" s="2" t="s">
        <v>21</v>
      </c>
      <c r="C418" s="2" t="s">
        <v>60</v>
      </c>
      <c r="D418" s="2" t="s">
        <v>74</v>
      </c>
      <c r="E418" s="2" t="s">
        <v>75</v>
      </c>
      <c r="F418" s="2" t="s">
        <v>77</v>
      </c>
      <c r="G418" s="2">
        <v>2025</v>
      </c>
      <c r="H418" s="3">
        <v>109</v>
      </c>
      <c r="I418" s="3">
        <v>611983.0666126837</v>
      </c>
      <c r="J418" s="4">
        <f>Table13[[#This Row],[Unique Visitors]]/Table13[[#This Row],[Sales]]</f>
        <v>5614.523546905355</v>
      </c>
      <c r="K418" s="5">
        <f>Table13[[#This Row],[Sales]]/Table13[[#This Row],[Unique Visitors]]</f>
        <v>1.7810950326340436E-4</v>
      </c>
      <c r="L418"/>
    </row>
    <row r="419" spans="1:12" x14ac:dyDescent="0.2">
      <c r="A419" s="2" t="s">
        <v>61</v>
      </c>
      <c r="B419" s="2" t="s">
        <v>38</v>
      </c>
      <c r="C419" s="2" t="s">
        <v>60</v>
      </c>
      <c r="D419" s="2" t="s">
        <v>72</v>
      </c>
      <c r="E419" s="2" t="s">
        <v>75</v>
      </c>
      <c r="F419" s="2" t="s">
        <v>77</v>
      </c>
      <c r="G419" s="2">
        <v>2024</v>
      </c>
      <c r="H419" s="3">
        <v>97</v>
      </c>
      <c r="I419" s="3">
        <v>386801.54485750227</v>
      </c>
      <c r="J419" s="4">
        <f>Table13[[#This Row],[Unique Visitors]]/Table13[[#This Row],[Sales]]</f>
        <v>3987.6447923453843</v>
      </c>
      <c r="K419" s="5">
        <f>Table13[[#This Row],[Sales]]/Table13[[#This Row],[Unique Visitors]]</f>
        <v>2.5077459304288666E-4</v>
      </c>
      <c r="L419"/>
    </row>
    <row r="420" spans="1:12" x14ac:dyDescent="0.2">
      <c r="A420" s="2" t="s">
        <v>61</v>
      </c>
      <c r="B420" s="2" t="s">
        <v>37</v>
      </c>
      <c r="C420" s="2" t="s">
        <v>62</v>
      </c>
      <c r="D420" s="2" t="s">
        <v>72</v>
      </c>
      <c r="E420" s="2" t="s">
        <v>75</v>
      </c>
      <c r="F420" s="2" t="s">
        <v>77</v>
      </c>
      <c r="G420" s="2">
        <v>2025</v>
      </c>
      <c r="H420" s="3">
        <v>83</v>
      </c>
      <c r="I420" s="3">
        <v>187937.32429532931</v>
      </c>
      <c r="J420" s="4">
        <f>Table13[[#This Row],[Unique Visitors]]/Table13[[#This Row],[Sales]]</f>
        <v>2264.3051119919196</v>
      </c>
      <c r="K420" s="5">
        <f>Table13[[#This Row],[Sales]]/Table13[[#This Row],[Unique Visitors]]</f>
        <v>4.4163659513195882E-4</v>
      </c>
      <c r="L420"/>
    </row>
    <row r="421" spans="1:12" x14ac:dyDescent="0.2">
      <c r="A421" s="2" t="s">
        <v>65</v>
      </c>
      <c r="B421" s="2" t="s">
        <v>21</v>
      </c>
      <c r="C421" s="2" t="s">
        <v>60</v>
      </c>
      <c r="D421" s="2" t="s">
        <v>74</v>
      </c>
      <c r="E421" s="2" t="s">
        <v>75</v>
      </c>
      <c r="F421" s="2" t="s">
        <v>77</v>
      </c>
      <c r="G421" s="2">
        <v>2024</v>
      </c>
      <c r="H421" s="3">
        <v>80</v>
      </c>
      <c r="I421" s="3">
        <v>601105.11842396809</v>
      </c>
      <c r="J421" s="4">
        <f>Table13[[#This Row],[Unique Visitors]]/Table13[[#This Row],[Sales]]</f>
        <v>7513.8139802996011</v>
      </c>
      <c r="K421" s="5">
        <f>Table13[[#This Row],[Sales]]/Table13[[#This Row],[Unique Visitors]]</f>
        <v>1.3308820295816355E-4</v>
      </c>
      <c r="L421"/>
    </row>
    <row r="422" spans="1:12" x14ac:dyDescent="0.2">
      <c r="A422" s="2" t="s">
        <v>65</v>
      </c>
      <c r="B422" s="2" t="s">
        <v>13</v>
      </c>
      <c r="C422" s="2" t="s">
        <v>61</v>
      </c>
      <c r="D422" s="2" t="s">
        <v>73</v>
      </c>
      <c r="E422" s="2" t="s">
        <v>75</v>
      </c>
      <c r="F422" s="2" t="s">
        <v>77</v>
      </c>
      <c r="G422" s="2">
        <v>2024</v>
      </c>
      <c r="H422" s="3">
        <v>64</v>
      </c>
      <c r="I422" s="3">
        <v>99395.88455927957</v>
      </c>
      <c r="J422" s="4">
        <f>Table13[[#This Row],[Unique Visitors]]/Table13[[#This Row],[Sales]]</f>
        <v>1553.0606962387433</v>
      </c>
      <c r="K422" s="5">
        <f>Table13[[#This Row],[Sales]]/Table13[[#This Row],[Unique Visitors]]</f>
        <v>6.4388983793217799E-4</v>
      </c>
      <c r="L422"/>
    </row>
    <row r="423" spans="1:12" x14ac:dyDescent="0.2">
      <c r="A423" s="2" t="s">
        <v>61</v>
      </c>
      <c r="B423" s="2" t="s">
        <v>29</v>
      </c>
      <c r="C423" s="2" t="s">
        <v>62</v>
      </c>
      <c r="D423" s="2" t="s">
        <v>72</v>
      </c>
      <c r="E423" s="2" t="s">
        <v>75</v>
      </c>
      <c r="F423" s="2" t="s">
        <v>77</v>
      </c>
      <c r="G423" s="2">
        <v>2025</v>
      </c>
      <c r="H423" s="3">
        <v>21</v>
      </c>
      <c r="I423" s="3">
        <v>330278.41674339311</v>
      </c>
      <c r="J423" s="4">
        <f>Table13[[#This Row],[Unique Visitors]]/Table13[[#This Row],[Sales]]</f>
        <v>15727.54365444729</v>
      </c>
      <c r="K423" s="5">
        <f>Table13[[#This Row],[Sales]]/Table13[[#This Row],[Unique Visitors]]</f>
        <v>6.3582719715880685E-5</v>
      </c>
      <c r="L423"/>
    </row>
  </sheetData>
  <conditionalFormatting sqref="J2:J423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42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e0ac0b7-786b-4a4d-883f-5147160c2eba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DATA CUT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Carysforth</cp:lastModifiedBy>
  <dcterms:created xsi:type="dcterms:W3CDTF">2026-03-01T15:05:12Z</dcterms:created>
  <dcterms:modified xsi:type="dcterms:W3CDTF">2026-05-11T14:21:35Z</dcterms:modified>
</cp:coreProperties>
</file>